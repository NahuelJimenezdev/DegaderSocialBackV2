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d.docs.live.net/1078e8790d43342c/Documentos/Fun SOL Y LUNA/nov-24-2025/ALISTAMIENTO/VOLUNTARIADO/"/>
    </mc:Choice>
  </mc:AlternateContent>
  <xr:revisionPtr revIDLastSave="0" documentId="8_{A913480D-7308-4406-B05E-56DCD51C3926}" xr6:coauthVersionLast="47" xr6:coauthVersionMax="47" xr10:uidLastSave="{00000000-0000-0000-0000-000000000000}"/>
  <bookViews>
    <workbookView xWindow="-108" yWindow="-108" windowWidth="23256" windowHeight="12456" xr2:uid="{4412E208-480F-4DD7-B2A6-9E77E8BCB8F3}"/>
  </bookViews>
  <sheets>
    <sheet name="TABLA" sheetId="1" r:id="rId1"/>
    <sheet name="ROLES" sheetId="5" state="hidden" r:id="rId2"/>
    <sheet name="INSTRUCCIONES" sheetId="2" r:id="rId3"/>
    <sheet name="DATOS" sheetId="3" state="hidden" r:id="rId4"/>
    <sheet name="VALORACION" sheetId="4" state="hidden" r:id="rId5"/>
  </sheets>
  <definedNames>
    <definedName name="_xlnm._FilterDatabase" localSheetId="0" hidden="1">TABLA!$A$2:$AA$5</definedName>
    <definedName name="CÓRDOBA">CORDOBA[CÓRDOBA]</definedName>
    <definedName name="R_AMAZONÍA">REGION_AMAZONIA[R_AMAZONÍA]</definedName>
    <definedName name="R_ANDINA">REGION_ANDINA[R_ANDINA]</definedName>
    <definedName name="R_CARIBE">REGION_CARIBE[R_CARIBE]</definedName>
    <definedName name="R_INSULAR">REGION_INSULAR[R_INSULAR]</definedName>
    <definedName name="R_ORINOQUIA">REGION_ORINOQUIA[R_ORINOQUIA]</definedName>
    <definedName name="R_PACÍFICA">REGION_PACIFICA[R_PACÍFICA]</definedName>
    <definedName name="TIEMPO_PARTICIPACION">Tabla47[#All]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1" l="1"/>
  <c r="T6" i="1"/>
  <c r="T7" i="1"/>
  <c r="Y7" i="1" s="1"/>
  <c r="T8" i="1"/>
  <c r="Y8" i="1" s="1"/>
  <c r="T9" i="1"/>
  <c r="Y9" i="1" s="1"/>
  <c r="T10" i="1"/>
  <c r="Y10" i="1" s="1"/>
  <c r="T11" i="1"/>
  <c r="Y11" i="1" s="1"/>
  <c r="T12" i="1"/>
  <c r="Y12" i="1" s="1"/>
  <c r="T13" i="1"/>
  <c r="Y13" i="1" s="1"/>
  <c r="T14" i="1"/>
  <c r="Y14" i="1" s="1"/>
  <c r="T15" i="1"/>
  <c r="Y15" i="1" s="1"/>
  <c r="T16" i="1"/>
  <c r="Y16" i="1" s="1"/>
  <c r="T17" i="1"/>
  <c r="Y17" i="1" s="1"/>
  <c r="T18" i="1"/>
  <c r="Y18" i="1" s="1"/>
  <c r="T19" i="1"/>
  <c r="Y19" i="1" s="1"/>
  <c r="T20" i="1"/>
  <c r="Y20" i="1" s="1"/>
  <c r="T21" i="1"/>
  <c r="Y21" i="1" s="1"/>
  <c r="T22" i="1"/>
  <c r="Y22" i="1" s="1"/>
  <c r="T23" i="1"/>
  <c r="Y23" i="1" s="1"/>
  <c r="T24" i="1"/>
  <c r="Y24" i="1" s="1"/>
  <c r="T25" i="1"/>
  <c r="Y25" i="1" s="1"/>
  <c r="T26" i="1"/>
  <c r="Y26" i="1" s="1"/>
  <c r="T27" i="1"/>
  <c r="Y27" i="1" s="1"/>
  <c r="T28" i="1"/>
  <c r="Y28" i="1" s="1"/>
  <c r="T29" i="1"/>
  <c r="Y29" i="1" s="1"/>
  <c r="T30" i="1"/>
  <c r="Y30" i="1" s="1"/>
  <c r="T31" i="1"/>
  <c r="Y31" i="1" s="1"/>
  <c r="T32" i="1"/>
  <c r="Y32" i="1" s="1"/>
  <c r="T33" i="1"/>
  <c r="Y33" i="1" s="1"/>
  <c r="T34" i="1"/>
  <c r="Y34" i="1" s="1"/>
  <c r="T35" i="1"/>
  <c r="Y35" i="1" s="1"/>
  <c r="T36" i="1"/>
  <c r="Y36" i="1" s="1"/>
  <c r="T37" i="1"/>
  <c r="Y37" i="1" s="1"/>
  <c r="T38" i="1"/>
  <c r="Y38" i="1" s="1"/>
  <c r="T39" i="1"/>
  <c r="Y39" i="1" s="1"/>
  <c r="T40" i="1"/>
  <c r="Y40" i="1" s="1"/>
  <c r="T41" i="1"/>
  <c r="Y41" i="1" s="1"/>
  <c r="T42" i="1"/>
  <c r="Y42" i="1" s="1"/>
  <c r="T43" i="1"/>
  <c r="Y43" i="1" s="1"/>
  <c r="T44" i="1"/>
  <c r="Y44" i="1" s="1"/>
  <c r="T45" i="1"/>
  <c r="Y45" i="1" s="1"/>
  <c r="T46" i="1"/>
  <c r="Y46" i="1" s="1"/>
  <c r="T47" i="1"/>
  <c r="Y47" i="1" s="1"/>
  <c r="T48" i="1"/>
  <c r="Y48" i="1" s="1"/>
  <c r="T49" i="1"/>
  <c r="Y49" i="1" s="1"/>
  <c r="T50" i="1"/>
  <c r="Y50" i="1" s="1"/>
  <c r="T51" i="1"/>
  <c r="Y51" i="1" s="1"/>
  <c r="T52" i="1"/>
  <c r="Y52" i="1" s="1"/>
  <c r="T53" i="1"/>
  <c r="Y53" i="1" s="1"/>
  <c r="T54" i="1"/>
  <c r="Y54" i="1" s="1"/>
  <c r="T55" i="1"/>
  <c r="Y55" i="1" s="1"/>
  <c r="T56" i="1"/>
  <c r="Y56" i="1" s="1"/>
  <c r="T57" i="1"/>
  <c r="Y57" i="1" s="1"/>
  <c r="T58" i="1"/>
  <c r="Y58" i="1" s="1"/>
  <c r="T59" i="1"/>
  <c r="Y59" i="1" s="1"/>
  <c r="T60" i="1"/>
  <c r="Y60" i="1" s="1"/>
  <c r="T61" i="1"/>
  <c r="Y61" i="1" s="1"/>
  <c r="T62" i="1"/>
  <c r="Y62" i="1" s="1"/>
  <c r="T63" i="1"/>
  <c r="Y63" i="1" s="1"/>
  <c r="T64" i="1"/>
  <c r="Y64" i="1" s="1"/>
  <c r="T65" i="1"/>
  <c r="Y65" i="1" s="1"/>
  <c r="T66" i="1"/>
  <c r="Y66" i="1" s="1"/>
  <c r="T67" i="1"/>
  <c r="Y67" i="1" s="1"/>
  <c r="T68" i="1"/>
  <c r="Y68" i="1" s="1"/>
  <c r="T69" i="1"/>
  <c r="Y69" i="1" s="1"/>
  <c r="T70" i="1"/>
  <c r="Y70" i="1" s="1"/>
  <c r="T71" i="1"/>
  <c r="Y71" i="1" s="1"/>
  <c r="T72" i="1"/>
  <c r="Y72" i="1" s="1"/>
  <c r="T73" i="1"/>
  <c r="Y73" i="1" s="1"/>
  <c r="T74" i="1"/>
  <c r="Y74" i="1" s="1"/>
  <c r="T75" i="1"/>
  <c r="Y75" i="1" s="1"/>
  <c r="T76" i="1"/>
  <c r="Y76" i="1" s="1"/>
  <c r="T77" i="1"/>
  <c r="Y77" i="1" s="1"/>
  <c r="T78" i="1"/>
  <c r="Y78" i="1" s="1"/>
  <c r="T79" i="1"/>
  <c r="Y79" i="1" s="1"/>
  <c r="T80" i="1"/>
  <c r="Y80" i="1" s="1"/>
  <c r="T81" i="1"/>
  <c r="Y81" i="1" s="1"/>
  <c r="T82" i="1"/>
  <c r="Y82" i="1" s="1"/>
  <c r="T83" i="1"/>
  <c r="Y83" i="1" s="1"/>
  <c r="T84" i="1"/>
  <c r="Y84" i="1" s="1"/>
  <c r="T85" i="1"/>
  <c r="Y85" i="1" s="1"/>
  <c r="T86" i="1"/>
  <c r="Y86" i="1" s="1"/>
  <c r="T87" i="1"/>
  <c r="Y87" i="1" s="1"/>
  <c r="T88" i="1"/>
  <c r="Y88" i="1" s="1"/>
  <c r="T89" i="1"/>
  <c r="Y89" i="1" s="1"/>
  <c r="T90" i="1"/>
  <c r="Y90" i="1" s="1"/>
  <c r="T91" i="1"/>
  <c r="Y91" i="1" s="1"/>
  <c r="T92" i="1"/>
  <c r="Y92" i="1" s="1"/>
  <c r="T93" i="1"/>
  <c r="Y93" i="1" s="1"/>
  <c r="T94" i="1"/>
  <c r="Y94" i="1" s="1"/>
  <c r="T95" i="1"/>
  <c r="Y95" i="1" s="1"/>
  <c r="T96" i="1"/>
  <c r="Y96" i="1" s="1"/>
  <c r="T97" i="1"/>
  <c r="Y97" i="1" s="1"/>
  <c r="T98" i="1"/>
  <c r="Y98" i="1" s="1"/>
  <c r="T99" i="1"/>
  <c r="Y99" i="1" s="1"/>
  <c r="T100" i="1"/>
  <c r="Y100" i="1" s="1"/>
  <c r="T101" i="1"/>
  <c r="Y101" i="1" s="1"/>
  <c r="T102" i="1"/>
  <c r="Y102" i="1" s="1"/>
  <c r="T103" i="1"/>
  <c r="Y103" i="1" s="1"/>
  <c r="T104" i="1"/>
  <c r="Y104" i="1" s="1"/>
  <c r="T105" i="1"/>
  <c r="Y105" i="1" s="1"/>
  <c r="T106" i="1"/>
  <c r="Y106" i="1" s="1"/>
  <c r="T107" i="1"/>
  <c r="Y107" i="1" s="1"/>
  <c r="T108" i="1"/>
  <c r="Y108" i="1" s="1"/>
  <c r="T109" i="1"/>
  <c r="Y109" i="1" s="1"/>
  <c r="T110" i="1"/>
  <c r="Y110" i="1" s="1"/>
  <c r="T111" i="1"/>
  <c r="Y111" i="1" s="1"/>
  <c r="T112" i="1"/>
  <c r="Y112" i="1" s="1"/>
  <c r="T113" i="1"/>
  <c r="Y113" i="1" s="1"/>
  <c r="T114" i="1"/>
  <c r="Y114" i="1" s="1"/>
  <c r="T115" i="1"/>
  <c r="Y115" i="1" s="1"/>
  <c r="T116" i="1"/>
  <c r="Y116" i="1" s="1"/>
  <c r="T117" i="1"/>
  <c r="Y117" i="1" s="1"/>
  <c r="T118" i="1"/>
  <c r="Y118" i="1" s="1"/>
  <c r="T119" i="1"/>
  <c r="Y119" i="1" s="1"/>
  <c r="T120" i="1"/>
  <c r="Y120" i="1" s="1"/>
  <c r="T121" i="1"/>
  <c r="Y121" i="1" s="1"/>
  <c r="T122" i="1"/>
  <c r="Y122" i="1" s="1"/>
  <c r="T123" i="1"/>
  <c r="Y123" i="1" s="1"/>
  <c r="T124" i="1"/>
  <c r="Y124" i="1" s="1"/>
  <c r="T125" i="1"/>
  <c r="Y125" i="1" s="1"/>
  <c r="T126" i="1"/>
  <c r="Y126" i="1" s="1"/>
  <c r="T127" i="1"/>
  <c r="Y127" i="1" s="1"/>
  <c r="T128" i="1"/>
  <c r="Y128" i="1" s="1"/>
  <c r="T129" i="1"/>
  <c r="Y129" i="1" s="1"/>
  <c r="T130" i="1"/>
  <c r="Y130" i="1" s="1"/>
  <c r="T131" i="1"/>
  <c r="Y131" i="1" s="1"/>
  <c r="T132" i="1"/>
  <c r="Y132" i="1" s="1"/>
  <c r="T133" i="1"/>
  <c r="Y133" i="1" s="1"/>
  <c r="T134" i="1"/>
  <c r="Y134" i="1" s="1"/>
  <c r="T135" i="1"/>
  <c r="Y135" i="1" s="1"/>
  <c r="T136" i="1"/>
  <c r="Y136" i="1" s="1"/>
  <c r="T137" i="1"/>
  <c r="Y137" i="1" s="1"/>
  <c r="T138" i="1"/>
  <c r="Y138" i="1" s="1"/>
  <c r="T139" i="1"/>
  <c r="Y139" i="1" s="1"/>
  <c r="T140" i="1"/>
  <c r="Y140" i="1" s="1"/>
  <c r="T141" i="1"/>
  <c r="Y141" i="1" s="1"/>
  <c r="T142" i="1"/>
  <c r="Y142" i="1" s="1"/>
  <c r="T143" i="1"/>
  <c r="Y143" i="1" s="1"/>
  <c r="T144" i="1"/>
  <c r="Y144" i="1" s="1"/>
  <c r="T145" i="1"/>
  <c r="Y145" i="1" s="1"/>
  <c r="T146" i="1"/>
  <c r="Y146" i="1" s="1"/>
  <c r="T147" i="1"/>
  <c r="Y147" i="1" s="1"/>
  <c r="T148" i="1"/>
  <c r="Y148" i="1" s="1"/>
  <c r="T149" i="1"/>
  <c r="Y149" i="1" s="1"/>
  <c r="T150" i="1"/>
  <c r="Y150" i="1" s="1"/>
  <c r="T151" i="1"/>
  <c r="Y151" i="1" s="1"/>
  <c r="T152" i="1"/>
  <c r="Y152" i="1" s="1"/>
  <c r="T153" i="1"/>
  <c r="Y153" i="1" s="1"/>
  <c r="T154" i="1"/>
  <c r="Y154" i="1" s="1"/>
  <c r="T155" i="1"/>
  <c r="Y155" i="1" s="1"/>
  <c r="T156" i="1"/>
  <c r="Y156" i="1" s="1"/>
  <c r="T157" i="1"/>
  <c r="Y157" i="1" s="1"/>
  <c r="T158" i="1"/>
  <c r="Y158" i="1" s="1"/>
  <c r="T159" i="1"/>
  <c r="Y159" i="1" s="1"/>
  <c r="T160" i="1"/>
  <c r="Y160" i="1" s="1"/>
  <c r="T161" i="1"/>
  <c r="Y161" i="1" s="1"/>
  <c r="T162" i="1"/>
  <c r="Y162" i="1" s="1"/>
  <c r="T163" i="1"/>
  <c r="Y163" i="1" s="1"/>
  <c r="T164" i="1"/>
  <c r="Y164" i="1" s="1"/>
  <c r="T165" i="1"/>
  <c r="Y165" i="1" s="1"/>
  <c r="T166" i="1"/>
  <c r="Y166" i="1" s="1"/>
  <c r="T167" i="1"/>
  <c r="Y167" i="1" s="1"/>
  <c r="T168" i="1"/>
  <c r="Y168" i="1" s="1"/>
  <c r="T169" i="1"/>
  <c r="Y169" i="1" s="1"/>
  <c r="T170" i="1"/>
  <c r="Y170" i="1" s="1"/>
  <c r="T171" i="1"/>
  <c r="Y171" i="1" s="1"/>
  <c r="T172" i="1"/>
  <c r="Y172" i="1" s="1"/>
  <c r="T173" i="1"/>
  <c r="Y173" i="1" s="1"/>
  <c r="T174" i="1"/>
  <c r="Y174" i="1" s="1"/>
  <c r="T175" i="1"/>
  <c r="Y175" i="1" s="1"/>
  <c r="T176" i="1"/>
  <c r="Y176" i="1" s="1"/>
  <c r="T177" i="1"/>
  <c r="Y177" i="1" s="1"/>
  <c r="T178" i="1"/>
  <c r="Y178" i="1" s="1"/>
  <c r="T179" i="1"/>
  <c r="Y179" i="1" s="1"/>
  <c r="T180" i="1"/>
  <c r="Y180" i="1" s="1"/>
  <c r="T181" i="1"/>
  <c r="Y181" i="1" s="1"/>
  <c r="T182" i="1"/>
  <c r="Y182" i="1" s="1"/>
  <c r="T183" i="1"/>
  <c r="Y183" i="1" s="1"/>
  <c r="T184" i="1"/>
  <c r="Y184" i="1" s="1"/>
  <c r="T185" i="1"/>
  <c r="Y185" i="1" s="1"/>
  <c r="T186" i="1"/>
  <c r="Y186" i="1" s="1"/>
  <c r="T187" i="1"/>
  <c r="Y187" i="1" s="1"/>
  <c r="T188" i="1"/>
  <c r="Y188" i="1" s="1"/>
  <c r="T189" i="1"/>
  <c r="Y189" i="1" s="1"/>
  <c r="T190" i="1"/>
  <c r="Y190" i="1" s="1"/>
  <c r="T191" i="1"/>
  <c r="Y191" i="1" s="1"/>
  <c r="T192" i="1"/>
  <c r="Y192" i="1" s="1"/>
  <c r="T193" i="1"/>
  <c r="Y193" i="1" s="1"/>
  <c r="T194" i="1"/>
  <c r="Y194" i="1" s="1"/>
  <c r="T195" i="1"/>
  <c r="Y195" i="1" s="1"/>
  <c r="T196" i="1"/>
  <c r="Y196" i="1" s="1"/>
  <c r="T197" i="1"/>
  <c r="Y197" i="1" s="1"/>
  <c r="T198" i="1"/>
  <c r="Y198" i="1" s="1"/>
  <c r="T199" i="1"/>
  <c r="Y199" i="1" s="1"/>
  <c r="T200" i="1"/>
  <c r="Y200" i="1" s="1"/>
  <c r="T201" i="1"/>
  <c r="Y201" i="1" s="1"/>
  <c r="T202" i="1"/>
  <c r="Y202" i="1" s="1"/>
  <c r="T203" i="1"/>
  <c r="Y203" i="1" s="1"/>
  <c r="T204" i="1"/>
  <c r="Y204" i="1" s="1"/>
  <c r="T205" i="1"/>
  <c r="Y205" i="1" s="1"/>
  <c r="T206" i="1"/>
  <c r="Y206" i="1" s="1"/>
  <c r="T207" i="1"/>
  <c r="Y207" i="1" s="1"/>
  <c r="T208" i="1"/>
  <c r="Y208" i="1" s="1"/>
  <c r="T209" i="1"/>
  <c r="Y209" i="1" s="1"/>
  <c r="T210" i="1"/>
  <c r="Y210" i="1" s="1"/>
  <c r="T211" i="1"/>
  <c r="Y211" i="1" s="1"/>
  <c r="T212" i="1"/>
  <c r="Y212" i="1" s="1"/>
  <c r="T213" i="1"/>
  <c r="Y213" i="1" s="1"/>
  <c r="T214" i="1"/>
  <c r="Y214" i="1" s="1"/>
  <c r="T215" i="1"/>
  <c r="Y215" i="1" s="1"/>
  <c r="T216" i="1"/>
  <c r="Y216" i="1" s="1"/>
  <c r="T217" i="1"/>
  <c r="Y217" i="1" s="1"/>
  <c r="T218" i="1"/>
  <c r="Y218" i="1" s="1"/>
  <c r="T219" i="1"/>
  <c r="Y219" i="1" s="1"/>
  <c r="T220" i="1"/>
  <c r="Y220" i="1" s="1"/>
  <c r="T221" i="1"/>
  <c r="Y221" i="1" s="1"/>
  <c r="T222" i="1"/>
  <c r="Y222" i="1" s="1"/>
  <c r="T223" i="1"/>
  <c r="Y223" i="1" s="1"/>
  <c r="T224" i="1"/>
  <c r="Y224" i="1" s="1"/>
  <c r="T225" i="1"/>
  <c r="Y225" i="1" s="1"/>
  <c r="T226" i="1"/>
  <c r="Y226" i="1" s="1"/>
  <c r="T227" i="1"/>
  <c r="Y227" i="1" s="1"/>
  <c r="T228" i="1"/>
  <c r="Y228" i="1" s="1"/>
  <c r="T229" i="1"/>
  <c r="Y229" i="1" s="1"/>
  <c r="T230" i="1"/>
  <c r="Y230" i="1" s="1"/>
  <c r="T231" i="1"/>
  <c r="Y231" i="1" s="1"/>
  <c r="T232" i="1"/>
  <c r="Y232" i="1" s="1"/>
  <c r="T233" i="1"/>
  <c r="Y233" i="1" s="1"/>
  <c r="T234" i="1"/>
  <c r="Y234" i="1" s="1"/>
  <c r="T235" i="1"/>
  <c r="Y235" i="1" s="1"/>
  <c r="T236" i="1"/>
  <c r="Y236" i="1" s="1"/>
  <c r="T237" i="1"/>
  <c r="Y237" i="1" s="1"/>
  <c r="T238" i="1"/>
  <c r="Y238" i="1" s="1"/>
  <c r="T239" i="1"/>
  <c r="Y239" i="1" s="1"/>
  <c r="T240" i="1"/>
  <c r="Y240" i="1" s="1"/>
  <c r="T241" i="1"/>
  <c r="Y241" i="1" s="1"/>
  <c r="T242" i="1"/>
  <c r="Y242" i="1" s="1"/>
  <c r="T243" i="1"/>
  <c r="Y243" i="1" s="1"/>
  <c r="T244" i="1"/>
  <c r="Y244" i="1" s="1"/>
  <c r="T245" i="1"/>
  <c r="Y245" i="1" s="1"/>
  <c r="T246" i="1"/>
  <c r="Y246" i="1" s="1"/>
  <c r="T247" i="1"/>
  <c r="Y247" i="1" s="1"/>
  <c r="T248" i="1"/>
  <c r="Y248" i="1" s="1"/>
  <c r="T249" i="1"/>
  <c r="Y249" i="1" s="1"/>
  <c r="T250" i="1"/>
  <c r="Y250" i="1" s="1"/>
  <c r="T251" i="1"/>
  <c r="Y251" i="1" s="1"/>
  <c r="T252" i="1"/>
  <c r="Y252" i="1" s="1"/>
  <c r="T253" i="1"/>
  <c r="Y253" i="1" s="1"/>
  <c r="T254" i="1"/>
  <c r="Y254" i="1" s="1"/>
  <c r="T255" i="1"/>
  <c r="Y255" i="1" s="1"/>
  <c r="T256" i="1"/>
  <c r="Y256" i="1" s="1"/>
  <c r="T257" i="1"/>
  <c r="Y257" i="1" s="1"/>
  <c r="T258" i="1"/>
  <c r="Y258" i="1" s="1"/>
  <c r="T259" i="1"/>
  <c r="Y259" i="1" s="1"/>
  <c r="T260" i="1"/>
  <c r="Y260" i="1" s="1"/>
  <c r="T261" i="1"/>
  <c r="Y261" i="1" s="1"/>
  <c r="T262" i="1"/>
  <c r="Y262" i="1" s="1"/>
  <c r="T263" i="1"/>
  <c r="Y263" i="1" s="1"/>
  <c r="T264" i="1"/>
  <c r="Y264" i="1" s="1"/>
  <c r="T265" i="1"/>
  <c r="Y265" i="1" s="1"/>
  <c r="T266" i="1"/>
  <c r="Y266" i="1" s="1"/>
  <c r="T267" i="1"/>
  <c r="Y267" i="1" s="1"/>
  <c r="T268" i="1"/>
  <c r="Y268" i="1" s="1"/>
  <c r="T269" i="1"/>
  <c r="Y269" i="1" s="1"/>
  <c r="T270" i="1"/>
  <c r="Y270" i="1" s="1"/>
  <c r="T271" i="1"/>
  <c r="Y271" i="1" s="1"/>
  <c r="T272" i="1"/>
  <c r="Y272" i="1" s="1"/>
  <c r="T273" i="1"/>
  <c r="Y273" i="1" s="1"/>
  <c r="T274" i="1"/>
  <c r="Y274" i="1" s="1"/>
  <c r="T275" i="1"/>
  <c r="Y275" i="1" s="1"/>
  <c r="T276" i="1"/>
  <c r="Y276" i="1" s="1"/>
  <c r="T277" i="1"/>
  <c r="Y277" i="1" s="1"/>
  <c r="T278" i="1"/>
  <c r="Y278" i="1" s="1"/>
  <c r="T279" i="1"/>
  <c r="Y279" i="1" s="1"/>
  <c r="T280" i="1"/>
  <c r="Y280" i="1" s="1"/>
  <c r="T281" i="1"/>
  <c r="Y281" i="1" s="1"/>
  <c r="T282" i="1"/>
  <c r="Y282" i="1" s="1"/>
  <c r="T283" i="1"/>
  <c r="Y283" i="1" s="1"/>
  <c r="T284" i="1"/>
  <c r="Y284" i="1" s="1"/>
  <c r="T285" i="1"/>
  <c r="Y285" i="1" s="1"/>
  <c r="T286" i="1"/>
  <c r="Y286" i="1" s="1"/>
  <c r="T287" i="1"/>
  <c r="Y287" i="1" s="1"/>
  <c r="T288" i="1"/>
  <c r="Y288" i="1" s="1"/>
  <c r="T289" i="1"/>
  <c r="Y289" i="1" s="1"/>
  <c r="T290" i="1"/>
  <c r="Y290" i="1" s="1"/>
  <c r="T291" i="1"/>
  <c r="Y291" i="1" s="1"/>
  <c r="T292" i="1"/>
  <c r="Y292" i="1" s="1"/>
  <c r="T293" i="1"/>
  <c r="Y293" i="1" s="1"/>
  <c r="T294" i="1"/>
  <c r="Y294" i="1" s="1"/>
  <c r="T295" i="1"/>
  <c r="Y295" i="1" s="1"/>
  <c r="T296" i="1"/>
  <c r="Y296" i="1" s="1"/>
  <c r="T297" i="1"/>
  <c r="Y297" i="1" s="1"/>
  <c r="T298" i="1"/>
  <c r="Y298" i="1" s="1"/>
  <c r="T299" i="1"/>
  <c r="Y299" i="1" s="1"/>
  <c r="T300" i="1"/>
  <c r="Y300" i="1" s="1"/>
  <c r="T301" i="1"/>
  <c r="Y301" i="1" s="1"/>
  <c r="T302" i="1"/>
  <c r="Y302" i="1" s="1"/>
  <c r="T303" i="1"/>
  <c r="Y303" i="1" s="1"/>
  <c r="T304" i="1"/>
  <c r="Y304" i="1" s="1"/>
  <c r="T305" i="1"/>
  <c r="Y305" i="1" s="1"/>
  <c r="T306" i="1"/>
  <c r="Y306" i="1" s="1"/>
  <c r="T307" i="1"/>
  <c r="Y307" i="1" s="1"/>
  <c r="T308" i="1"/>
  <c r="Y308" i="1" s="1"/>
  <c r="T309" i="1"/>
  <c r="Y309" i="1" s="1"/>
  <c r="T310" i="1"/>
  <c r="Y310" i="1" s="1"/>
  <c r="T311" i="1"/>
  <c r="Y311" i="1" s="1"/>
  <c r="T312" i="1"/>
  <c r="Y312" i="1" s="1"/>
  <c r="T313" i="1"/>
  <c r="Y313" i="1" s="1"/>
  <c r="T314" i="1"/>
  <c r="Y314" i="1" s="1"/>
  <c r="T315" i="1"/>
  <c r="Y315" i="1" s="1"/>
  <c r="T316" i="1"/>
  <c r="Y316" i="1" s="1"/>
  <c r="T317" i="1"/>
  <c r="Y317" i="1" s="1"/>
  <c r="T318" i="1"/>
  <c r="Y318" i="1" s="1"/>
  <c r="T319" i="1"/>
  <c r="Y319" i="1" s="1"/>
  <c r="T320" i="1"/>
  <c r="Y320" i="1" s="1"/>
  <c r="T321" i="1"/>
  <c r="Y321" i="1" s="1"/>
  <c r="T322" i="1"/>
  <c r="Y322" i="1" s="1"/>
  <c r="T323" i="1"/>
  <c r="Y323" i="1" s="1"/>
  <c r="T324" i="1"/>
  <c r="Y324" i="1" s="1"/>
  <c r="T325" i="1"/>
  <c r="Y325" i="1" s="1"/>
  <c r="T326" i="1"/>
  <c r="Y326" i="1" s="1"/>
  <c r="T327" i="1"/>
  <c r="Y327" i="1" s="1"/>
  <c r="T328" i="1"/>
  <c r="Y328" i="1" s="1"/>
  <c r="T329" i="1"/>
  <c r="Y329" i="1" s="1"/>
  <c r="T330" i="1"/>
  <c r="Y330" i="1" s="1"/>
  <c r="T331" i="1"/>
  <c r="Y331" i="1" s="1"/>
  <c r="T332" i="1"/>
  <c r="Y332" i="1" s="1"/>
  <c r="T333" i="1"/>
  <c r="Y333" i="1" s="1"/>
  <c r="T334" i="1"/>
  <c r="Y334" i="1" s="1"/>
  <c r="T335" i="1"/>
  <c r="Y335" i="1" s="1"/>
  <c r="T336" i="1"/>
  <c r="Y336" i="1" s="1"/>
  <c r="T337" i="1"/>
  <c r="Y337" i="1" s="1"/>
  <c r="T338" i="1"/>
  <c r="Y338" i="1" s="1"/>
  <c r="T339" i="1"/>
  <c r="Y339" i="1" s="1"/>
  <c r="T340" i="1"/>
  <c r="Y340" i="1" s="1"/>
  <c r="T341" i="1"/>
  <c r="Y341" i="1" s="1"/>
  <c r="T342" i="1"/>
  <c r="Y342" i="1" s="1"/>
  <c r="T343" i="1"/>
  <c r="Y343" i="1" s="1"/>
  <c r="T344" i="1"/>
  <c r="Y344" i="1" s="1"/>
  <c r="T345" i="1"/>
  <c r="Y345" i="1" s="1"/>
  <c r="T346" i="1"/>
  <c r="Y346" i="1" s="1"/>
  <c r="T347" i="1"/>
  <c r="Y347" i="1" s="1"/>
  <c r="T348" i="1"/>
  <c r="Y348" i="1" s="1"/>
  <c r="T349" i="1"/>
  <c r="Y349" i="1" s="1"/>
  <c r="T350" i="1"/>
  <c r="Y350" i="1" s="1"/>
  <c r="T351" i="1"/>
  <c r="Y351" i="1" s="1"/>
  <c r="T352" i="1"/>
  <c r="Y352" i="1" s="1"/>
  <c r="T353" i="1"/>
  <c r="Y353" i="1" s="1"/>
  <c r="T354" i="1"/>
  <c r="Y354" i="1" s="1"/>
  <c r="T355" i="1"/>
  <c r="Y355" i="1" s="1"/>
  <c r="T356" i="1"/>
  <c r="Y356" i="1" s="1"/>
  <c r="T357" i="1"/>
  <c r="Y357" i="1" s="1"/>
  <c r="T358" i="1"/>
  <c r="Y358" i="1" s="1"/>
  <c r="T359" i="1"/>
  <c r="Y359" i="1" s="1"/>
  <c r="T360" i="1"/>
  <c r="Y360" i="1" s="1"/>
  <c r="T361" i="1"/>
  <c r="Y361" i="1" s="1"/>
  <c r="T362" i="1"/>
  <c r="Y362" i="1" s="1"/>
  <c r="T363" i="1"/>
  <c r="Y363" i="1" s="1"/>
  <c r="T364" i="1"/>
  <c r="Y364" i="1" s="1"/>
  <c r="T365" i="1"/>
  <c r="Y365" i="1" s="1"/>
  <c r="T366" i="1"/>
  <c r="Y366" i="1" s="1"/>
  <c r="T367" i="1"/>
  <c r="Y367" i="1" s="1"/>
  <c r="T368" i="1"/>
  <c r="Y368" i="1" s="1"/>
  <c r="T369" i="1"/>
  <c r="Y369" i="1" s="1"/>
  <c r="T370" i="1"/>
  <c r="Y370" i="1" s="1"/>
  <c r="T371" i="1"/>
  <c r="Y371" i="1" s="1"/>
  <c r="T372" i="1"/>
  <c r="Y372" i="1" s="1"/>
  <c r="T373" i="1"/>
  <c r="Y373" i="1" s="1"/>
  <c r="T374" i="1"/>
  <c r="Y374" i="1" s="1"/>
  <c r="T375" i="1"/>
  <c r="Y375" i="1" s="1"/>
  <c r="T376" i="1"/>
  <c r="Y376" i="1" s="1"/>
  <c r="T377" i="1"/>
  <c r="Y377" i="1" s="1"/>
  <c r="T378" i="1"/>
  <c r="Y378" i="1" s="1"/>
  <c r="T379" i="1"/>
  <c r="Y379" i="1" s="1"/>
  <c r="T380" i="1"/>
  <c r="Y380" i="1" s="1"/>
  <c r="T381" i="1"/>
  <c r="Y381" i="1" s="1"/>
  <c r="T382" i="1"/>
  <c r="Y382" i="1" s="1"/>
  <c r="T383" i="1"/>
  <c r="Y383" i="1" s="1"/>
  <c r="T384" i="1"/>
  <c r="Y384" i="1" s="1"/>
  <c r="T385" i="1"/>
  <c r="Y385" i="1" s="1"/>
  <c r="T386" i="1"/>
  <c r="Y386" i="1" s="1"/>
  <c r="T387" i="1"/>
  <c r="Y387" i="1" s="1"/>
  <c r="T388" i="1"/>
  <c r="Y388" i="1" s="1"/>
  <c r="T389" i="1"/>
  <c r="Y389" i="1" s="1"/>
  <c r="T390" i="1"/>
  <c r="Y390" i="1" s="1"/>
  <c r="T391" i="1"/>
  <c r="Y391" i="1" s="1"/>
  <c r="T392" i="1"/>
  <c r="Y392" i="1" s="1"/>
  <c r="T393" i="1"/>
  <c r="Y393" i="1" s="1"/>
  <c r="T394" i="1"/>
  <c r="Y394" i="1" s="1"/>
  <c r="T395" i="1"/>
  <c r="Y395" i="1" s="1"/>
  <c r="T396" i="1"/>
  <c r="Y396" i="1" s="1"/>
  <c r="T397" i="1"/>
  <c r="Y397" i="1" s="1"/>
  <c r="T398" i="1"/>
  <c r="Y398" i="1" s="1"/>
  <c r="T399" i="1"/>
  <c r="Y399" i="1" s="1"/>
  <c r="T400" i="1"/>
  <c r="Y400" i="1" s="1"/>
  <c r="T401" i="1"/>
  <c r="Y401" i="1" s="1"/>
  <c r="T402" i="1"/>
  <c r="Y402" i="1" s="1"/>
  <c r="T403" i="1"/>
  <c r="Y403" i="1" s="1"/>
  <c r="T404" i="1"/>
  <c r="Y404" i="1" s="1"/>
  <c r="T405" i="1"/>
  <c r="Y405" i="1" s="1"/>
  <c r="T406" i="1"/>
  <c r="Y406" i="1" s="1"/>
  <c r="T407" i="1"/>
  <c r="Y407" i="1" s="1"/>
  <c r="T408" i="1"/>
  <c r="Y408" i="1" s="1"/>
  <c r="T409" i="1"/>
  <c r="Y409" i="1" s="1"/>
  <c r="T410" i="1"/>
  <c r="Y410" i="1" s="1"/>
  <c r="T411" i="1"/>
  <c r="Y411" i="1" s="1"/>
  <c r="T412" i="1"/>
  <c r="Y412" i="1" s="1"/>
  <c r="T413" i="1"/>
  <c r="Y413" i="1" s="1"/>
  <c r="T414" i="1"/>
  <c r="Y414" i="1" s="1"/>
  <c r="T415" i="1"/>
  <c r="Y415" i="1" s="1"/>
  <c r="T416" i="1"/>
  <c r="Y416" i="1" s="1"/>
  <c r="T417" i="1"/>
  <c r="Y417" i="1" s="1"/>
  <c r="T418" i="1"/>
  <c r="Y418" i="1" s="1"/>
  <c r="T419" i="1"/>
  <c r="Y419" i="1" s="1"/>
  <c r="T420" i="1"/>
  <c r="Y420" i="1" s="1"/>
  <c r="T421" i="1"/>
  <c r="Y421" i="1" s="1"/>
  <c r="T422" i="1"/>
  <c r="Y422" i="1" s="1"/>
  <c r="T423" i="1"/>
  <c r="Y423" i="1" s="1"/>
  <c r="T424" i="1"/>
  <c r="Y424" i="1" s="1"/>
  <c r="T425" i="1"/>
  <c r="Y425" i="1" s="1"/>
  <c r="T426" i="1"/>
  <c r="Y426" i="1" s="1"/>
  <c r="T427" i="1"/>
  <c r="Y427" i="1" s="1"/>
  <c r="T428" i="1"/>
  <c r="Y428" i="1" s="1"/>
  <c r="T429" i="1"/>
  <c r="Y429" i="1" s="1"/>
  <c r="T430" i="1"/>
  <c r="Y430" i="1" s="1"/>
  <c r="T431" i="1"/>
  <c r="Y431" i="1" s="1"/>
  <c r="T432" i="1"/>
  <c r="Y432" i="1" s="1"/>
  <c r="T433" i="1"/>
  <c r="Y433" i="1" s="1"/>
  <c r="T434" i="1"/>
  <c r="Y434" i="1" s="1"/>
  <c r="T435" i="1"/>
  <c r="Y435" i="1" s="1"/>
  <c r="T436" i="1"/>
  <c r="Y436" i="1" s="1"/>
  <c r="T437" i="1"/>
  <c r="Y437" i="1" s="1"/>
  <c r="T438" i="1"/>
  <c r="Y438" i="1" s="1"/>
  <c r="T439" i="1"/>
  <c r="Y439" i="1" s="1"/>
  <c r="T440" i="1"/>
  <c r="Y440" i="1" s="1"/>
  <c r="T441" i="1"/>
  <c r="Y441" i="1" s="1"/>
  <c r="T442" i="1"/>
  <c r="Y442" i="1" s="1"/>
  <c r="T443" i="1"/>
  <c r="Y443" i="1" s="1"/>
  <c r="T444" i="1"/>
  <c r="Y444" i="1" s="1"/>
  <c r="T445" i="1"/>
  <c r="Y445" i="1" s="1"/>
  <c r="T446" i="1"/>
  <c r="Y446" i="1" s="1"/>
  <c r="T447" i="1"/>
  <c r="Y447" i="1" s="1"/>
  <c r="T448" i="1"/>
  <c r="Y448" i="1" s="1"/>
  <c r="T449" i="1"/>
  <c r="Y449" i="1" s="1"/>
  <c r="T450" i="1"/>
  <c r="Y450" i="1" s="1"/>
  <c r="T451" i="1"/>
  <c r="Y451" i="1" s="1"/>
  <c r="T452" i="1"/>
  <c r="Y452" i="1" s="1"/>
  <c r="T453" i="1"/>
  <c r="Y453" i="1" s="1"/>
  <c r="T454" i="1"/>
  <c r="Y454" i="1" s="1"/>
  <c r="T455" i="1"/>
  <c r="Y455" i="1" s="1"/>
  <c r="T456" i="1"/>
  <c r="Y456" i="1" s="1"/>
  <c r="T457" i="1"/>
  <c r="Y457" i="1" s="1"/>
  <c r="T458" i="1"/>
  <c r="Y458" i="1" s="1"/>
  <c r="T459" i="1"/>
  <c r="Y459" i="1" s="1"/>
  <c r="T460" i="1"/>
  <c r="Y460" i="1" s="1"/>
  <c r="T461" i="1"/>
  <c r="Y461" i="1" s="1"/>
  <c r="T462" i="1"/>
  <c r="Y462" i="1" s="1"/>
  <c r="T463" i="1"/>
  <c r="Y463" i="1" s="1"/>
  <c r="T464" i="1"/>
  <c r="Y464" i="1" s="1"/>
  <c r="T465" i="1"/>
  <c r="Y465" i="1" s="1"/>
  <c r="T466" i="1"/>
  <c r="Y466" i="1" s="1"/>
  <c r="T467" i="1"/>
  <c r="Y467" i="1" s="1"/>
  <c r="T468" i="1"/>
  <c r="Y468" i="1" s="1"/>
  <c r="T469" i="1"/>
  <c r="Y469" i="1" s="1"/>
  <c r="T470" i="1"/>
  <c r="Y470" i="1" s="1"/>
  <c r="T471" i="1"/>
  <c r="Y471" i="1" s="1"/>
  <c r="T472" i="1"/>
  <c r="Y472" i="1" s="1"/>
  <c r="T473" i="1"/>
  <c r="Y473" i="1" s="1"/>
  <c r="T474" i="1"/>
  <c r="Y474" i="1" s="1"/>
  <c r="T475" i="1"/>
  <c r="Y475" i="1" s="1"/>
  <c r="T476" i="1"/>
  <c r="Y476" i="1" s="1"/>
  <c r="T477" i="1"/>
  <c r="Y477" i="1" s="1"/>
  <c r="T478" i="1"/>
  <c r="Y478" i="1" s="1"/>
  <c r="T479" i="1"/>
  <c r="Y479" i="1" s="1"/>
  <c r="T480" i="1"/>
  <c r="Y480" i="1" s="1"/>
  <c r="T481" i="1"/>
  <c r="Y481" i="1" s="1"/>
  <c r="T482" i="1"/>
  <c r="Y482" i="1" s="1"/>
  <c r="T483" i="1"/>
  <c r="Y483" i="1" s="1"/>
  <c r="T484" i="1"/>
  <c r="Y484" i="1" s="1"/>
  <c r="T485" i="1"/>
  <c r="Y485" i="1" s="1"/>
  <c r="T486" i="1"/>
  <c r="Y486" i="1" s="1"/>
  <c r="T487" i="1"/>
  <c r="Y487" i="1" s="1"/>
  <c r="T488" i="1"/>
  <c r="Y488" i="1" s="1"/>
  <c r="T489" i="1"/>
  <c r="Y489" i="1" s="1"/>
  <c r="T490" i="1"/>
  <c r="Y490" i="1" s="1"/>
  <c r="T491" i="1"/>
  <c r="Y491" i="1" s="1"/>
  <c r="T492" i="1"/>
  <c r="Y492" i="1" s="1"/>
  <c r="T493" i="1"/>
  <c r="Y493" i="1" s="1"/>
  <c r="T494" i="1"/>
  <c r="Y494" i="1" s="1"/>
  <c r="T495" i="1"/>
  <c r="Y495" i="1" s="1"/>
  <c r="T496" i="1"/>
  <c r="Y496" i="1" s="1"/>
  <c r="T497" i="1"/>
  <c r="Y497" i="1" s="1"/>
  <c r="T498" i="1"/>
  <c r="Y498" i="1" s="1"/>
  <c r="T499" i="1"/>
  <c r="Y499" i="1" s="1"/>
  <c r="T500" i="1"/>
  <c r="Y500" i="1" s="1"/>
  <c r="T501" i="1"/>
  <c r="Y501" i="1" s="1"/>
  <c r="T502" i="1"/>
  <c r="Y502" i="1" s="1"/>
  <c r="T503" i="1"/>
  <c r="Y503" i="1" s="1"/>
  <c r="T504" i="1"/>
  <c r="Y504" i="1" s="1"/>
  <c r="T505" i="1"/>
  <c r="Y505" i="1" s="1"/>
  <c r="T506" i="1"/>
  <c r="Y506" i="1" s="1"/>
  <c r="T507" i="1"/>
  <c r="Y507" i="1" s="1"/>
  <c r="T508" i="1"/>
  <c r="Y508" i="1" s="1"/>
  <c r="T509" i="1"/>
  <c r="Y509" i="1" s="1"/>
  <c r="T510" i="1"/>
  <c r="Y510" i="1" s="1"/>
  <c r="T511" i="1"/>
  <c r="Y511" i="1" s="1"/>
  <c r="T512" i="1"/>
  <c r="Y512" i="1" s="1"/>
  <c r="T513" i="1"/>
  <c r="Y513" i="1" s="1"/>
  <c r="T514" i="1"/>
  <c r="Y514" i="1" s="1"/>
  <c r="T515" i="1"/>
  <c r="Y515" i="1" s="1"/>
  <c r="T516" i="1"/>
  <c r="Y516" i="1" s="1"/>
  <c r="T517" i="1"/>
  <c r="Y517" i="1" s="1"/>
  <c r="T518" i="1"/>
  <c r="Y518" i="1" s="1"/>
  <c r="T519" i="1"/>
  <c r="Y519" i="1" s="1"/>
  <c r="T520" i="1"/>
  <c r="Y520" i="1" s="1"/>
  <c r="T521" i="1"/>
  <c r="Y521" i="1" s="1"/>
  <c r="T522" i="1"/>
  <c r="Y522" i="1" s="1"/>
  <c r="T523" i="1"/>
  <c r="Y523" i="1" s="1"/>
  <c r="T524" i="1"/>
  <c r="Y524" i="1" s="1"/>
  <c r="T525" i="1"/>
  <c r="Y525" i="1" s="1"/>
  <c r="T526" i="1"/>
  <c r="Y526" i="1" s="1"/>
  <c r="T527" i="1"/>
  <c r="Y527" i="1" s="1"/>
  <c r="T528" i="1"/>
  <c r="Y528" i="1" s="1"/>
  <c r="T529" i="1"/>
  <c r="Y529" i="1" s="1"/>
  <c r="T530" i="1"/>
  <c r="Y530" i="1" s="1"/>
  <c r="T531" i="1"/>
  <c r="Y531" i="1" s="1"/>
  <c r="T532" i="1"/>
  <c r="Y532" i="1" s="1"/>
  <c r="T533" i="1"/>
  <c r="Y533" i="1" s="1"/>
  <c r="T534" i="1"/>
  <c r="Y534" i="1" s="1"/>
  <c r="T535" i="1"/>
  <c r="Y535" i="1" s="1"/>
  <c r="T536" i="1"/>
  <c r="Y536" i="1" s="1"/>
  <c r="T537" i="1"/>
  <c r="Y537" i="1" s="1"/>
  <c r="T538" i="1"/>
  <c r="Y538" i="1" s="1"/>
  <c r="T539" i="1"/>
  <c r="Y539" i="1" s="1"/>
  <c r="T540" i="1"/>
  <c r="Y540" i="1" s="1"/>
  <c r="T541" i="1"/>
  <c r="Y541" i="1" s="1"/>
  <c r="T542" i="1"/>
  <c r="Y542" i="1" s="1"/>
  <c r="T543" i="1"/>
  <c r="Y543" i="1" s="1"/>
  <c r="T544" i="1"/>
  <c r="Y544" i="1" s="1"/>
  <c r="T545" i="1"/>
  <c r="Y545" i="1" s="1"/>
  <c r="T546" i="1"/>
  <c r="Y546" i="1" s="1"/>
  <c r="T547" i="1"/>
  <c r="Y547" i="1" s="1"/>
  <c r="T548" i="1"/>
  <c r="Y548" i="1" s="1"/>
  <c r="T549" i="1"/>
  <c r="Y549" i="1" s="1"/>
  <c r="T550" i="1"/>
  <c r="Y550" i="1" s="1"/>
  <c r="T551" i="1"/>
  <c r="Y551" i="1" s="1"/>
  <c r="T552" i="1"/>
  <c r="Y552" i="1" s="1"/>
  <c r="T553" i="1"/>
  <c r="Y553" i="1" s="1"/>
  <c r="T554" i="1"/>
  <c r="Y554" i="1" s="1"/>
  <c r="T555" i="1"/>
  <c r="Y555" i="1" s="1"/>
  <c r="T556" i="1"/>
  <c r="Y556" i="1" s="1"/>
  <c r="T557" i="1"/>
  <c r="Y557" i="1" s="1"/>
  <c r="T558" i="1"/>
  <c r="Y558" i="1" s="1"/>
  <c r="T559" i="1"/>
  <c r="Y559" i="1" s="1"/>
  <c r="T560" i="1"/>
  <c r="Y560" i="1" s="1"/>
  <c r="T561" i="1"/>
  <c r="Y561" i="1" s="1"/>
  <c r="T562" i="1"/>
  <c r="Y562" i="1" s="1"/>
  <c r="T563" i="1"/>
  <c r="Y563" i="1" s="1"/>
  <c r="T564" i="1"/>
  <c r="Y564" i="1" s="1"/>
  <c r="T565" i="1"/>
  <c r="Y565" i="1" s="1"/>
  <c r="T566" i="1"/>
  <c r="Y566" i="1" s="1"/>
  <c r="T567" i="1"/>
  <c r="Y567" i="1" s="1"/>
  <c r="T568" i="1"/>
  <c r="Y568" i="1" s="1"/>
  <c r="T569" i="1"/>
  <c r="Y569" i="1" s="1"/>
  <c r="T570" i="1"/>
  <c r="Y570" i="1" s="1"/>
  <c r="T571" i="1"/>
  <c r="Y571" i="1" s="1"/>
  <c r="T572" i="1"/>
  <c r="Y572" i="1" s="1"/>
  <c r="T573" i="1"/>
  <c r="Y573" i="1" s="1"/>
  <c r="T574" i="1"/>
  <c r="Y574" i="1" s="1"/>
  <c r="T575" i="1"/>
  <c r="Y575" i="1" s="1"/>
  <c r="T576" i="1"/>
  <c r="Y576" i="1" s="1"/>
  <c r="T577" i="1"/>
  <c r="Y577" i="1" s="1"/>
  <c r="T578" i="1"/>
  <c r="Y578" i="1" s="1"/>
  <c r="T579" i="1"/>
  <c r="Y579" i="1" s="1"/>
  <c r="T580" i="1"/>
  <c r="Y580" i="1" s="1"/>
  <c r="T581" i="1"/>
  <c r="Y581" i="1" s="1"/>
  <c r="T582" i="1"/>
  <c r="Y582" i="1" s="1"/>
  <c r="T583" i="1"/>
  <c r="Y583" i="1" s="1"/>
  <c r="T584" i="1"/>
  <c r="Y584" i="1" s="1"/>
  <c r="T585" i="1"/>
  <c r="Y585" i="1" s="1"/>
  <c r="T586" i="1"/>
  <c r="Y586" i="1" s="1"/>
  <c r="T587" i="1"/>
  <c r="Y587" i="1" s="1"/>
  <c r="T588" i="1"/>
  <c r="Y588" i="1" s="1"/>
  <c r="T589" i="1"/>
  <c r="Y589" i="1" s="1"/>
  <c r="T590" i="1"/>
  <c r="Y590" i="1" s="1"/>
  <c r="T591" i="1"/>
  <c r="Y591" i="1" s="1"/>
  <c r="T592" i="1"/>
  <c r="Y592" i="1" s="1"/>
  <c r="T593" i="1"/>
  <c r="Y593" i="1" s="1"/>
  <c r="T594" i="1"/>
  <c r="Y594" i="1" s="1"/>
  <c r="T595" i="1"/>
  <c r="Y595" i="1" s="1"/>
  <c r="T596" i="1"/>
  <c r="Y596" i="1" s="1"/>
  <c r="T597" i="1"/>
  <c r="Y597" i="1" s="1"/>
  <c r="T598" i="1"/>
  <c r="Y598" i="1" s="1"/>
  <c r="T599" i="1"/>
  <c r="Y599" i="1" s="1"/>
  <c r="T600" i="1"/>
  <c r="Y600" i="1" s="1"/>
  <c r="T601" i="1"/>
  <c r="Y601" i="1" s="1"/>
  <c r="T602" i="1"/>
  <c r="Y602" i="1" s="1"/>
  <c r="T603" i="1"/>
  <c r="Y603" i="1" s="1"/>
  <c r="T604" i="1"/>
  <c r="Y604" i="1" s="1"/>
  <c r="T605" i="1"/>
  <c r="Y605" i="1" s="1"/>
  <c r="T606" i="1"/>
  <c r="Y606" i="1" s="1"/>
  <c r="T607" i="1"/>
  <c r="Y607" i="1" s="1"/>
  <c r="T608" i="1"/>
  <c r="Y608" i="1" s="1"/>
  <c r="T609" i="1"/>
  <c r="Y609" i="1" s="1"/>
  <c r="T610" i="1"/>
  <c r="Y610" i="1" s="1"/>
  <c r="T611" i="1"/>
  <c r="Y611" i="1" s="1"/>
  <c r="T612" i="1"/>
  <c r="Y612" i="1" s="1"/>
  <c r="T613" i="1"/>
  <c r="Y613" i="1" s="1"/>
  <c r="T614" i="1"/>
  <c r="Y614" i="1" s="1"/>
  <c r="T615" i="1"/>
  <c r="Y615" i="1" s="1"/>
  <c r="T616" i="1"/>
  <c r="Y616" i="1" s="1"/>
  <c r="T617" i="1"/>
  <c r="Y617" i="1" s="1"/>
  <c r="T618" i="1"/>
  <c r="Y618" i="1" s="1"/>
  <c r="T619" i="1"/>
  <c r="Y619" i="1" s="1"/>
  <c r="T620" i="1"/>
  <c r="Y620" i="1" s="1"/>
  <c r="T621" i="1"/>
  <c r="Y621" i="1" s="1"/>
  <c r="T622" i="1"/>
  <c r="Y622" i="1" s="1"/>
  <c r="T623" i="1"/>
  <c r="Y623" i="1" s="1"/>
  <c r="T624" i="1"/>
  <c r="Y624" i="1" s="1"/>
  <c r="T625" i="1"/>
  <c r="Y625" i="1" s="1"/>
  <c r="T626" i="1"/>
  <c r="Y626" i="1" s="1"/>
  <c r="T627" i="1"/>
  <c r="Y627" i="1" s="1"/>
  <c r="T628" i="1"/>
  <c r="Y628" i="1" s="1"/>
  <c r="T629" i="1"/>
  <c r="Y629" i="1" s="1"/>
  <c r="T630" i="1"/>
  <c r="Y630" i="1" s="1"/>
  <c r="T631" i="1"/>
  <c r="Y631" i="1" s="1"/>
  <c r="T632" i="1"/>
  <c r="Y632" i="1" s="1"/>
  <c r="T633" i="1"/>
  <c r="Y633" i="1" s="1"/>
  <c r="T634" i="1"/>
  <c r="Y634" i="1" s="1"/>
  <c r="T635" i="1"/>
  <c r="Y635" i="1" s="1"/>
  <c r="T636" i="1"/>
  <c r="Y636" i="1" s="1"/>
  <c r="T637" i="1"/>
  <c r="Y637" i="1" s="1"/>
  <c r="T638" i="1"/>
  <c r="Y638" i="1" s="1"/>
  <c r="T639" i="1"/>
  <c r="Y639" i="1" s="1"/>
  <c r="T640" i="1"/>
  <c r="Y640" i="1" s="1"/>
  <c r="T641" i="1"/>
  <c r="Y641" i="1" s="1"/>
  <c r="T642" i="1"/>
  <c r="Y642" i="1" s="1"/>
  <c r="T643" i="1"/>
  <c r="Y643" i="1" s="1"/>
  <c r="T644" i="1"/>
  <c r="Y644" i="1" s="1"/>
  <c r="T645" i="1"/>
  <c r="Y645" i="1" s="1"/>
  <c r="T646" i="1"/>
  <c r="Y646" i="1" s="1"/>
  <c r="T647" i="1"/>
  <c r="Y647" i="1" s="1"/>
  <c r="T648" i="1"/>
  <c r="Y648" i="1" s="1"/>
  <c r="T649" i="1"/>
  <c r="Y649" i="1" s="1"/>
  <c r="T650" i="1"/>
  <c r="Y650" i="1" s="1"/>
  <c r="T651" i="1"/>
  <c r="Y651" i="1" s="1"/>
  <c r="T652" i="1"/>
  <c r="Y652" i="1" s="1"/>
  <c r="T653" i="1"/>
  <c r="Y653" i="1" s="1"/>
  <c r="T654" i="1"/>
  <c r="Y654" i="1" s="1"/>
  <c r="T655" i="1"/>
  <c r="Y655" i="1" s="1"/>
  <c r="T656" i="1"/>
  <c r="Y656" i="1" s="1"/>
  <c r="T657" i="1"/>
  <c r="Y657" i="1" s="1"/>
  <c r="T658" i="1"/>
  <c r="Y658" i="1" s="1"/>
  <c r="T659" i="1"/>
  <c r="Y659" i="1" s="1"/>
  <c r="T660" i="1"/>
  <c r="Y660" i="1" s="1"/>
  <c r="T661" i="1"/>
  <c r="Y661" i="1" s="1"/>
  <c r="T662" i="1"/>
  <c r="Y662" i="1" s="1"/>
  <c r="T663" i="1"/>
  <c r="Y663" i="1" s="1"/>
  <c r="T664" i="1"/>
  <c r="Y664" i="1" s="1"/>
  <c r="T665" i="1"/>
  <c r="Y665" i="1" s="1"/>
  <c r="T666" i="1"/>
  <c r="Y666" i="1" s="1"/>
  <c r="T667" i="1"/>
  <c r="Y667" i="1" s="1"/>
  <c r="T668" i="1"/>
  <c r="Y668" i="1" s="1"/>
  <c r="T669" i="1"/>
  <c r="Y669" i="1" s="1"/>
  <c r="T670" i="1"/>
  <c r="Y670" i="1" s="1"/>
  <c r="T671" i="1"/>
  <c r="Y671" i="1" s="1"/>
  <c r="T672" i="1"/>
  <c r="Y672" i="1" s="1"/>
  <c r="T673" i="1"/>
  <c r="Y673" i="1" s="1"/>
  <c r="T674" i="1"/>
  <c r="Y674" i="1" s="1"/>
  <c r="T675" i="1"/>
  <c r="Y675" i="1" s="1"/>
  <c r="T676" i="1"/>
  <c r="Y676" i="1" s="1"/>
  <c r="T677" i="1"/>
  <c r="Y677" i="1" s="1"/>
  <c r="T678" i="1"/>
  <c r="Y678" i="1" s="1"/>
  <c r="T679" i="1"/>
  <c r="Y679" i="1" s="1"/>
  <c r="T680" i="1"/>
  <c r="Y680" i="1" s="1"/>
  <c r="T681" i="1"/>
  <c r="Y681" i="1" s="1"/>
  <c r="T682" i="1"/>
  <c r="Y682" i="1" s="1"/>
  <c r="T683" i="1"/>
  <c r="Y683" i="1" s="1"/>
  <c r="T684" i="1"/>
  <c r="Y684" i="1" s="1"/>
  <c r="T685" i="1"/>
  <c r="Y685" i="1" s="1"/>
  <c r="T686" i="1"/>
  <c r="Y686" i="1" s="1"/>
  <c r="T687" i="1"/>
  <c r="Y687" i="1" s="1"/>
  <c r="T688" i="1"/>
  <c r="Y688" i="1" s="1"/>
  <c r="T689" i="1"/>
  <c r="Y689" i="1" s="1"/>
  <c r="T690" i="1"/>
  <c r="Y690" i="1" s="1"/>
  <c r="T691" i="1"/>
  <c r="Y691" i="1" s="1"/>
  <c r="T692" i="1"/>
  <c r="Y692" i="1" s="1"/>
  <c r="T693" i="1"/>
  <c r="Y693" i="1" s="1"/>
  <c r="T694" i="1"/>
  <c r="Y694" i="1" s="1"/>
  <c r="T695" i="1"/>
  <c r="Y695" i="1" s="1"/>
  <c r="T696" i="1"/>
  <c r="Y696" i="1" s="1"/>
  <c r="T697" i="1"/>
  <c r="Y697" i="1" s="1"/>
  <c r="T698" i="1"/>
  <c r="Y698" i="1" s="1"/>
  <c r="T699" i="1"/>
  <c r="Y699" i="1" s="1"/>
  <c r="T700" i="1"/>
  <c r="Y700" i="1" s="1"/>
  <c r="T701" i="1"/>
  <c r="Y701" i="1" s="1"/>
  <c r="T702" i="1"/>
  <c r="Y702" i="1" s="1"/>
  <c r="T703" i="1"/>
  <c r="Y703" i="1" s="1"/>
  <c r="T704" i="1"/>
  <c r="Y704" i="1" s="1"/>
  <c r="T705" i="1"/>
  <c r="Y705" i="1" s="1"/>
  <c r="T706" i="1"/>
  <c r="Y706" i="1" s="1"/>
  <c r="T707" i="1"/>
  <c r="Y707" i="1" s="1"/>
  <c r="T708" i="1"/>
  <c r="Y708" i="1" s="1"/>
  <c r="T709" i="1"/>
  <c r="Y709" i="1" s="1"/>
  <c r="T710" i="1"/>
  <c r="Y710" i="1" s="1"/>
  <c r="T711" i="1"/>
  <c r="Y711" i="1" s="1"/>
  <c r="T712" i="1"/>
  <c r="Y712" i="1" s="1"/>
  <c r="T713" i="1"/>
  <c r="Y713" i="1" s="1"/>
  <c r="T714" i="1"/>
  <c r="Y714" i="1" s="1"/>
  <c r="T715" i="1"/>
  <c r="Y715" i="1" s="1"/>
  <c r="T716" i="1"/>
  <c r="Y716" i="1" s="1"/>
  <c r="T717" i="1"/>
  <c r="Y717" i="1" s="1"/>
  <c r="T718" i="1"/>
  <c r="Y718" i="1" s="1"/>
  <c r="T719" i="1"/>
  <c r="Y719" i="1" s="1"/>
  <c r="T720" i="1"/>
  <c r="Y720" i="1" s="1"/>
  <c r="T721" i="1"/>
  <c r="Y721" i="1" s="1"/>
  <c r="T722" i="1"/>
  <c r="Y722" i="1" s="1"/>
  <c r="T723" i="1"/>
  <c r="Y723" i="1" s="1"/>
  <c r="T724" i="1"/>
  <c r="Y724" i="1" s="1"/>
  <c r="T725" i="1"/>
  <c r="Y725" i="1" s="1"/>
  <c r="T726" i="1"/>
  <c r="Y726" i="1" s="1"/>
  <c r="T727" i="1"/>
  <c r="Y727" i="1" s="1"/>
  <c r="T728" i="1"/>
  <c r="Y728" i="1" s="1"/>
  <c r="T729" i="1"/>
  <c r="Y729" i="1" s="1"/>
  <c r="T730" i="1"/>
  <c r="Y730" i="1" s="1"/>
  <c r="T731" i="1"/>
  <c r="Y731" i="1" s="1"/>
  <c r="T732" i="1"/>
  <c r="Y732" i="1" s="1"/>
  <c r="T733" i="1"/>
  <c r="Y733" i="1" s="1"/>
  <c r="T734" i="1"/>
  <c r="Y734" i="1" s="1"/>
  <c r="T735" i="1"/>
  <c r="Y735" i="1" s="1"/>
  <c r="T736" i="1"/>
  <c r="Y736" i="1" s="1"/>
  <c r="T737" i="1"/>
  <c r="Y737" i="1" s="1"/>
  <c r="T738" i="1"/>
  <c r="Y738" i="1" s="1"/>
  <c r="T739" i="1"/>
  <c r="Y739" i="1" s="1"/>
  <c r="T740" i="1"/>
  <c r="Y740" i="1" s="1"/>
  <c r="T741" i="1"/>
  <c r="Y741" i="1" s="1"/>
  <c r="T742" i="1"/>
  <c r="Y742" i="1" s="1"/>
  <c r="T743" i="1"/>
  <c r="Y743" i="1" s="1"/>
  <c r="T744" i="1"/>
  <c r="Y744" i="1" s="1"/>
  <c r="T745" i="1"/>
  <c r="Y745" i="1" s="1"/>
  <c r="T746" i="1"/>
  <c r="Y746" i="1" s="1"/>
  <c r="T747" i="1"/>
  <c r="Y747" i="1" s="1"/>
  <c r="T748" i="1"/>
  <c r="Y748" i="1" s="1"/>
  <c r="T749" i="1"/>
  <c r="Y749" i="1" s="1"/>
  <c r="T750" i="1"/>
  <c r="Y750" i="1" s="1"/>
  <c r="T751" i="1"/>
  <c r="Y751" i="1" s="1"/>
  <c r="T752" i="1"/>
  <c r="Y752" i="1" s="1"/>
  <c r="T753" i="1"/>
  <c r="Y753" i="1" s="1"/>
  <c r="T754" i="1"/>
  <c r="Y754" i="1" s="1"/>
  <c r="T755" i="1"/>
  <c r="Y755" i="1" s="1"/>
  <c r="T756" i="1"/>
  <c r="Y756" i="1" s="1"/>
  <c r="T757" i="1"/>
  <c r="Y757" i="1" s="1"/>
  <c r="T758" i="1"/>
  <c r="Y758" i="1" s="1"/>
  <c r="T759" i="1"/>
  <c r="Y759" i="1" s="1"/>
  <c r="T760" i="1"/>
  <c r="Y760" i="1" s="1"/>
  <c r="T761" i="1"/>
  <c r="Y761" i="1" s="1"/>
  <c r="T762" i="1"/>
  <c r="Y762" i="1" s="1"/>
  <c r="T763" i="1"/>
  <c r="Y763" i="1" s="1"/>
  <c r="T764" i="1"/>
  <c r="Y764" i="1" s="1"/>
  <c r="T765" i="1"/>
  <c r="Y765" i="1" s="1"/>
  <c r="T766" i="1"/>
  <c r="Y766" i="1" s="1"/>
  <c r="T767" i="1"/>
  <c r="Y767" i="1" s="1"/>
  <c r="T768" i="1"/>
  <c r="Y768" i="1" s="1"/>
  <c r="T769" i="1"/>
  <c r="Y769" i="1" s="1"/>
  <c r="T770" i="1"/>
  <c r="Y770" i="1" s="1"/>
  <c r="T771" i="1"/>
  <c r="Y771" i="1" s="1"/>
  <c r="T772" i="1"/>
  <c r="Y772" i="1" s="1"/>
  <c r="T773" i="1"/>
  <c r="Y773" i="1" s="1"/>
  <c r="T774" i="1"/>
  <c r="Y774" i="1" s="1"/>
  <c r="T775" i="1"/>
  <c r="Y775" i="1" s="1"/>
  <c r="T776" i="1"/>
  <c r="Y776" i="1" s="1"/>
  <c r="T777" i="1"/>
  <c r="Y777" i="1" s="1"/>
  <c r="T778" i="1"/>
  <c r="Y778" i="1" s="1"/>
  <c r="T779" i="1"/>
  <c r="Y779" i="1" s="1"/>
  <c r="T780" i="1"/>
  <c r="Y780" i="1" s="1"/>
  <c r="T781" i="1"/>
  <c r="Y781" i="1" s="1"/>
  <c r="T782" i="1"/>
  <c r="Y782" i="1" s="1"/>
  <c r="T783" i="1"/>
  <c r="Y783" i="1" s="1"/>
  <c r="T784" i="1"/>
  <c r="Y784" i="1" s="1"/>
  <c r="T785" i="1"/>
  <c r="Y785" i="1" s="1"/>
  <c r="T786" i="1"/>
  <c r="Y786" i="1" s="1"/>
  <c r="T787" i="1"/>
  <c r="Y787" i="1" s="1"/>
  <c r="T788" i="1"/>
  <c r="Y788" i="1" s="1"/>
  <c r="T789" i="1"/>
  <c r="Y789" i="1" s="1"/>
  <c r="T790" i="1"/>
  <c r="Y790" i="1" s="1"/>
  <c r="T791" i="1"/>
  <c r="Y791" i="1" s="1"/>
  <c r="T792" i="1"/>
  <c r="Y792" i="1" s="1"/>
  <c r="T793" i="1"/>
  <c r="Y793" i="1" s="1"/>
  <c r="T794" i="1"/>
  <c r="Y794" i="1" s="1"/>
  <c r="T795" i="1"/>
  <c r="Y795" i="1" s="1"/>
  <c r="T796" i="1"/>
  <c r="Y796" i="1" s="1"/>
  <c r="T797" i="1"/>
  <c r="Y797" i="1" s="1"/>
  <c r="T798" i="1"/>
  <c r="Y798" i="1" s="1"/>
  <c r="T799" i="1"/>
  <c r="Y799" i="1" s="1"/>
  <c r="T800" i="1"/>
  <c r="Y800" i="1" s="1"/>
  <c r="T801" i="1"/>
  <c r="Y801" i="1" s="1"/>
  <c r="T802" i="1"/>
  <c r="Y802" i="1" s="1"/>
  <c r="T803" i="1"/>
  <c r="Y803" i="1" s="1"/>
  <c r="T804" i="1"/>
  <c r="Y804" i="1" s="1"/>
  <c r="T805" i="1"/>
  <c r="Y805" i="1" s="1"/>
  <c r="T806" i="1"/>
  <c r="Y806" i="1" s="1"/>
  <c r="T807" i="1"/>
  <c r="Y807" i="1" s="1"/>
  <c r="T808" i="1"/>
  <c r="Y808" i="1" s="1"/>
  <c r="T809" i="1"/>
  <c r="Y809" i="1" s="1"/>
  <c r="T810" i="1"/>
  <c r="Y810" i="1" s="1"/>
  <c r="T811" i="1"/>
  <c r="Y811" i="1" s="1"/>
  <c r="T812" i="1"/>
  <c r="Y812" i="1" s="1"/>
  <c r="T813" i="1"/>
  <c r="Y813" i="1" s="1"/>
  <c r="T814" i="1"/>
  <c r="Y814" i="1" s="1"/>
  <c r="T815" i="1"/>
  <c r="Y815" i="1" s="1"/>
  <c r="T816" i="1"/>
  <c r="Y816" i="1" s="1"/>
  <c r="T817" i="1"/>
  <c r="Y817" i="1" s="1"/>
  <c r="T818" i="1"/>
  <c r="Y818" i="1" s="1"/>
  <c r="T819" i="1"/>
  <c r="Y819" i="1" s="1"/>
  <c r="T820" i="1"/>
  <c r="Y820" i="1" s="1"/>
  <c r="T821" i="1"/>
  <c r="Y821" i="1" s="1"/>
  <c r="T822" i="1"/>
  <c r="Y822" i="1" s="1"/>
  <c r="T823" i="1"/>
  <c r="Y823" i="1" s="1"/>
  <c r="T824" i="1"/>
  <c r="Y824" i="1" s="1"/>
  <c r="T825" i="1"/>
  <c r="Y825" i="1" s="1"/>
  <c r="T826" i="1"/>
  <c r="Y826" i="1" s="1"/>
  <c r="T827" i="1"/>
  <c r="Y827" i="1" s="1"/>
  <c r="T828" i="1"/>
  <c r="Y828" i="1" s="1"/>
  <c r="T829" i="1"/>
  <c r="Y829" i="1" s="1"/>
  <c r="T830" i="1"/>
  <c r="Y830" i="1" s="1"/>
  <c r="T831" i="1"/>
  <c r="Y831" i="1" s="1"/>
  <c r="T832" i="1"/>
  <c r="Y832" i="1" s="1"/>
  <c r="T833" i="1"/>
  <c r="Y833" i="1" s="1"/>
  <c r="T834" i="1"/>
  <c r="Y834" i="1" s="1"/>
  <c r="T835" i="1"/>
  <c r="Y835" i="1" s="1"/>
  <c r="T836" i="1"/>
  <c r="Y836" i="1" s="1"/>
  <c r="T837" i="1"/>
  <c r="Y837" i="1" s="1"/>
  <c r="T838" i="1"/>
  <c r="Y838" i="1" s="1"/>
  <c r="T839" i="1"/>
  <c r="Y839" i="1" s="1"/>
  <c r="T840" i="1"/>
  <c r="Y840" i="1" s="1"/>
  <c r="T841" i="1"/>
  <c r="Y841" i="1" s="1"/>
  <c r="T842" i="1"/>
  <c r="Y842" i="1" s="1"/>
  <c r="T843" i="1"/>
  <c r="Y843" i="1" s="1"/>
  <c r="T844" i="1"/>
  <c r="Y844" i="1" s="1"/>
  <c r="T845" i="1"/>
  <c r="Y845" i="1" s="1"/>
  <c r="T846" i="1"/>
  <c r="Y846" i="1" s="1"/>
  <c r="T847" i="1"/>
  <c r="Y847" i="1" s="1"/>
  <c r="T848" i="1"/>
  <c r="Y848" i="1" s="1"/>
  <c r="T849" i="1"/>
  <c r="Y849" i="1" s="1"/>
  <c r="T850" i="1"/>
  <c r="Y850" i="1" s="1"/>
  <c r="T851" i="1"/>
  <c r="Y851" i="1" s="1"/>
  <c r="T852" i="1"/>
  <c r="Y852" i="1" s="1"/>
  <c r="T853" i="1"/>
  <c r="Y853" i="1" s="1"/>
  <c r="T854" i="1"/>
  <c r="Y854" i="1" s="1"/>
  <c r="T855" i="1"/>
  <c r="Y855" i="1" s="1"/>
  <c r="T856" i="1"/>
  <c r="Y856" i="1" s="1"/>
  <c r="T857" i="1"/>
  <c r="Y857" i="1" s="1"/>
  <c r="T858" i="1"/>
  <c r="Y858" i="1" s="1"/>
  <c r="T859" i="1"/>
  <c r="Y859" i="1" s="1"/>
  <c r="T860" i="1"/>
  <c r="Y860" i="1" s="1"/>
  <c r="T861" i="1"/>
  <c r="Y861" i="1" s="1"/>
  <c r="T862" i="1"/>
  <c r="Y862" i="1" s="1"/>
  <c r="T863" i="1"/>
  <c r="Y863" i="1" s="1"/>
  <c r="T864" i="1"/>
  <c r="Y864" i="1" s="1"/>
  <c r="T865" i="1"/>
  <c r="Y865" i="1" s="1"/>
  <c r="T866" i="1"/>
  <c r="Y866" i="1" s="1"/>
  <c r="T867" i="1"/>
  <c r="Y867" i="1" s="1"/>
  <c r="T868" i="1"/>
  <c r="Y868" i="1" s="1"/>
  <c r="T869" i="1"/>
  <c r="Y869" i="1" s="1"/>
  <c r="T870" i="1"/>
  <c r="Y870" i="1" s="1"/>
  <c r="T871" i="1"/>
  <c r="Y871" i="1" s="1"/>
  <c r="T872" i="1"/>
  <c r="Y872" i="1" s="1"/>
  <c r="T873" i="1"/>
  <c r="Y873" i="1" s="1"/>
  <c r="T874" i="1"/>
  <c r="Y874" i="1" s="1"/>
  <c r="T875" i="1"/>
  <c r="Y875" i="1" s="1"/>
  <c r="T876" i="1"/>
  <c r="Y876" i="1" s="1"/>
  <c r="T877" i="1"/>
  <c r="Y877" i="1" s="1"/>
  <c r="T878" i="1"/>
  <c r="Y878" i="1" s="1"/>
  <c r="T879" i="1"/>
  <c r="Y879" i="1" s="1"/>
  <c r="T880" i="1"/>
  <c r="Y880" i="1" s="1"/>
  <c r="T881" i="1"/>
  <c r="Y881" i="1" s="1"/>
  <c r="T882" i="1"/>
  <c r="Y882" i="1" s="1"/>
  <c r="T883" i="1"/>
  <c r="Y883" i="1" s="1"/>
  <c r="T884" i="1"/>
  <c r="Y884" i="1" s="1"/>
  <c r="T885" i="1"/>
  <c r="Y885" i="1" s="1"/>
  <c r="T886" i="1"/>
  <c r="Y886" i="1" s="1"/>
  <c r="T887" i="1"/>
  <c r="Y887" i="1" s="1"/>
  <c r="T888" i="1"/>
  <c r="Y888" i="1" s="1"/>
  <c r="T889" i="1"/>
  <c r="Y889" i="1" s="1"/>
  <c r="T890" i="1"/>
  <c r="Y890" i="1" s="1"/>
  <c r="T891" i="1"/>
  <c r="Y891" i="1" s="1"/>
  <c r="T892" i="1"/>
  <c r="Y892" i="1" s="1"/>
  <c r="T893" i="1"/>
  <c r="Y893" i="1" s="1"/>
  <c r="T894" i="1"/>
  <c r="Y894" i="1" s="1"/>
  <c r="T895" i="1"/>
  <c r="Y895" i="1" s="1"/>
  <c r="T896" i="1"/>
  <c r="Y896" i="1" s="1"/>
  <c r="T897" i="1"/>
  <c r="Y897" i="1" s="1"/>
  <c r="T898" i="1"/>
  <c r="Y898" i="1" s="1"/>
  <c r="T899" i="1"/>
  <c r="Y899" i="1" s="1"/>
  <c r="T900" i="1"/>
  <c r="Y900" i="1" s="1"/>
  <c r="T901" i="1"/>
  <c r="Y901" i="1" s="1"/>
  <c r="T902" i="1"/>
  <c r="Y902" i="1" s="1"/>
  <c r="T903" i="1"/>
  <c r="Y903" i="1" s="1"/>
  <c r="T904" i="1"/>
  <c r="Y904" i="1" s="1"/>
  <c r="T905" i="1"/>
  <c r="Y905" i="1" s="1"/>
  <c r="T906" i="1"/>
  <c r="Y906" i="1" s="1"/>
  <c r="T907" i="1"/>
  <c r="Y907" i="1" s="1"/>
  <c r="T908" i="1"/>
  <c r="Y908" i="1" s="1"/>
  <c r="T909" i="1"/>
  <c r="Y909" i="1" s="1"/>
  <c r="T910" i="1"/>
  <c r="Y910" i="1" s="1"/>
  <c r="T911" i="1"/>
  <c r="Y911" i="1" s="1"/>
  <c r="T912" i="1"/>
  <c r="Y912" i="1" s="1"/>
  <c r="T913" i="1"/>
  <c r="Y913" i="1" s="1"/>
  <c r="T914" i="1"/>
  <c r="Y914" i="1" s="1"/>
  <c r="T915" i="1"/>
  <c r="Y915" i="1" s="1"/>
  <c r="T916" i="1"/>
  <c r="Y916" i="1" s="1"/>
  <c r="T917" i="1"/>
  <c r="Y917" i="1" s="1"/>
  <c r="T918" i="1"/>
  <c r="Y918" i="1" s="1"/>
  <c r="T919" i="1"/>
  <c r="Y919" i="1" s="1"/>
  <c r="T920" i="1"/>
  <c r="Y920" i="1" s="1"/>
  <c r="T921" i="1"/>
  <c r="Y921" i="1" s="1"/>
  <c r="T922" i="1"/>
  <c r="Y922" i="1" s="1"/>
  <c r="T923" i="1"/>
  <c r="Y923" i="1" s="1"/>
  <c r="T924" i="1"/>
  <c r="Y924" i="1" s="1"/>
  <c r="T925" i="1"/>
  <c r="Y925" i="1" s="1"/>
  <c r="T926" i="1"/>
  <c r="Y926" i="1" s="1"/>
  <c r="T927" i="1"/>
  <c r="Y927" i="1" s="1"/>
  <c r="T928" i="1"/>
  <c r="Y928" i="1" s="1"/>
  <c r="T929" i="1"/>
  <c r="Y929" i="1" s="1"/>
  <c r="T930" i="1"/>
  <c r="Y930" i="1" s="1"/>
  <c r="T931" i="1"/>
  <c r="Y931" i="1" s="1"/>
  <c r="T932" i="1"/>
  <c r="Y932" i="1" s="1"/>
  <c r="T933" i="1"/>
  <c r="Y933" i="1" s="1"/>
  <c r="T934" i="1"/>
  <c r="Y934" i="1" s="1"/>
  <c r="T935" i="1"/>
  <c r="Y935" i="1" s="1"/>
  <c r="T936" i="1"/>
  <c r="Y936" i="1" s="1"/>
  <c r="T937" i="1"/>
  <c r="Y937" i="1" s="1"/>
  <c r="T938" i="1"/>
  <c r="Y938" i="1" s="1"/>
  <c r="T939" i="1"/>
  <c r="Y939" i="1" s="1"/>
  <c r="T940" i="1"/>
  <c r="Y940" i="1" s="1"/>
  <c r="T941" i="1"/>
  <c r="Y941" i="1" s="1"/>
  <c r="T942" i="1"/>
  <c r="Y942" i="1" s="1"/>
  <c r="T943" i="1"/>
  <c r="Y943" i="1" s="1"/>
  <c r="T944" i="1"/>
  <c r="Y944" i="1" s="1"/>
  <c r="T945" i="1"/>
  <c r="Y945" i="1" s="1"/>
  <c r="T946" i="1"/>
  <c r="Y946" i="1" s="1"/>
  <c r="T947" i="1"/>
  <c r="Y947" i="1" s="1"/>
  <c r="T948" i="1"/>
  <c r="Y948" i="1" s="1"/>
  <c r="T949" i="1"/>
  <c r="Y949" i="1" s="1"/>
  <c r="T950" i="1"/>
  <c r="Y950" i="1" s="1"/>
  <c r="T951" i="1"/>
  <c r="Y951" i="1" s="1"/>
  <c r="T952" i="1"/>
  <c r="Y952" i="1" s="1"/>
  <c r="T953" i="1"/>
  <c r="Y953" i="1" s="1"/>
  <c r="T954" i="1"/>
  <c r="Y954" i="1" s="1"/>
  <c r="T955" i="1"/>
  <c r="Y955" i="1" s="1"/>
  <c r="T956" i="1"/>
  <c r="Y956" i="1" s="1"/>
  <c r="T957" i="1"/>
  <c r="Y957" i="1" s="1"/>
  <c r="T958" i="1"/>
  <c r="Y958" i="1" s="1"/>
  <c r="T959" i="1"/>
  <c r="Y959" i="1" s="1"/>
  <c r="T960" i="1"/>
  <c r="Y960" i="1" s="1"/>
  <c r="T961" i="1"/>
  <c r="Y961" i="1" s="1"/>
  <c r="T962" i="1"/>
  <c r="Y962" i="1" s="1"/>
  <c r="T963" i="1"/>
  <c r="Y963" i="1" s="1"/>
  <c r="T964" i="1"/>
  <c r="Y964" i="1" s="1"/>
  <c r="T965" i="1"/>
  <c r="Y965" i="1" s="1"/>
  <c r="T966" i="1"/>
  <c r="Y966" i="1" s="1"/>
  <c r="T967" i="1"/>
  <c r="Y967" i="1" s="1"/>
  <c r="T968" i="1"/>
  <c r="Y968" i="1" s="1"/>
  <c r="T969" i="1"/>
  <c r="Y969" i="1" s="1"/>
  <c r="T970" i="1"/>
  <c r="Y970" i="1" s="1"/>
  <c r="T971" i="1"/>
  <c r="Y971" i="1" s="1"/>
  <c r="T972" i="1"/>
  <c r="Y972" i="1" s="1"/>
  <c r="T973" i="1"/>
  <c r="Y973" i="1" s="1"/>
  <c r="T974" i="1"/>
  <c r="Y974" i="1" s="1"/>
  <c r="T975" i="1"/>
  <c r="Y975" i="1" s="1"/>
  <c r="T976" i="1"/>
  <c r="Y976" i="1" s="1"/>
  <c r="T977" i="1"/>
  <c r="Y977" i="1" s="1"/>
  <c r="T978" i="1"/>
  <c r="Y978" i="1" s="1"/>
  <c r="T979" i="1"/>
  <c r="Y979" i="1" s="1"/>
  <c r="T980" i="1"/>
  <c r="Y980" i="1" s="1"/>
  <c r="T981" i="1"/>
  <c r="Y981" i="1" s="1"/>
  <c r="T982" i="1"/>
  <c r="Y982" i="1" s="1"/>
  <c r="T983" i="1"/>
  <c r="Y983" i="1" s="1"/>
  <c r="T984" i="1"/>
  <c r="Y984" i="1" s="1"/>
  <c r="T985" i="1"/>
  <c r="Y985" i="1" s="1"/>
  <c r="T986" i="1"/>
  <c r="Y986" i="1" s="1"/>
  <c r="T987" i="1"/>
  <c r="Y987" i="1" s="1"/>
  <c r="T988" i="1"/>
  <c r="Y988" i="1" s="1"/>
  <c r="T989" i="1"/>
  <c r="Y989" i="1" s="1"/>
  <c r="T990" i="1"/>
  <c r="Y990" i="1" s="1"/>
  <c r="T991" i="1"/>
  <c r="Y991" i="1" s="1"/>
  <c r="T992" i="1"/>
  <c r="Y992" i="1" s="1"/>
  <c r="T993" i="1"/>
  <c r="Y993" i="1" s="1"/>
  <c r="T994" i="1"/>
  <c r="Y994" i="1" s="1"/>
  <c r="T995" i="1"/>
  <c r="Y995" i="1" s="1"/>
  <c r="T996" i="1"/>
  <c r="Y996" i="1" s="1"/>
  <c r="T997" i="1"/>
  <c r="Y997" i="1" s="1"/>
  <c r="T998" i="1"/>
  <c r="Y998" i="1" s="1"/>
  <c r="T999" i="1"/>
  <c r="Y999" i="1" s="1"/>
  <c r="T1000" i="1"/>
  <c r="Y1000" i="1" s="1"/>
  <c r="T1001" i="1"/>
  <c r="Y1001" i="1" s="1"/>
  <c r="T1002" i="1"/>
  <c r="Y1002" i="1" s="1"/>
  <c r="T1003" i="1"/>
  <c r="Y1003" i="1" s="1"/>
  <c r="T1004" i="1"/>
  <c r="Y1004" i="1" s="1"/>
  <c r="T1005" i="1"/>
  <c r="Y1005" i="1" s="1"/>
  <c r="T1006" i="1"/>
  <c r="Y1006" i="1" s="1"/>
  <c r="T1007" i="1"/>
  <c r="Y1007" i="1" s="1"/>
  <c r="T1008" i="1"/>
  <c r="Y1008" i="1" s="1"/>
  <c r="T1009" i="1"/>
  <c r="Y1009" i="1" s="1"/>
  <c r="T1010" i="1"/>
  <c r="Y1010" i="1" s="1"/>
  <c r="T1011" i="1"/>
  <c r="Y1011" i="1" s="1"/>
  <c r="T1012" i="1"/>
  <c r="Y1012" i="1" s="1"/>
  <c r="T1013" i="1"/>
  <c r="Y1013" i="1" s="1"/>
  <c r="T1014" i="1"/>
  <c r="Y1014" i="1" s="1"/>
  <c r="T1015" i="1"/>
  <c r="Y1015" i="1" s="1"/>
  <c r="T1016" i="1"/>
  <c r="Y1016" i="1" s="1"/>
  <c r="T1017" i="1"/>
  <c r="Y1017" i="1" s="1"/>
  <c r="T1018" i="1"/>
  <c r="Y1018" i="1" s="1"/>
  <c r="T1019" i="1"/>
  <c r="Y1019" i="1" s="1"/>
  <c r="T1020" i="1"/>
  <c r="Y1020" i="1" s="1"/>
  <c r="T1021" i="1"/>
  <c r="Y1021" i="1" s="1"/>
  <c r="T1022" i="1"/>
  <c r="Y1022" i="1" s="1"/>
  <c r="T1023" i="1"/>
  <c r="Y1023" i="1" s="1"/>
  <c r="T1024" i="1"/>
  <c r="Y1024" i="1" s="1"/>
  <c r="T1025" i="1"/>
  <c r="Y1025" i="1" s="1"/>
  <c r="T1026" i="1"/>
  <c r="Y1026" i="1" s="1"/>
  <c r="T1027" i="1"/>
  <c r="Y1027" i="1" s="1"/>
  <c r="T1028" i="1"/>
  <c r="Y1028" i="1" s="1"/>
  <c r="T1029" i="1"/>
  <c r="Y1029" i="1" s="1"/>
  <c r="T1030" i="1"/>
  <c r="Y1030" i="1" s="1"/>
  <c r="T1031" i="1"/>
  <c r="Y1031" i="1" s="1"/>
  <c r="T1032" i="1"/>
  <c r="Y1032" i="1" s="1"/>
  <c r="T1033" i="1"/>
  <c r="Y1033" i="1" s="1"/>
  <c r="T1034" i="1"/>
  <c r="Y1034" i="1" s="1"/>
  <c r="T1035" i="1"/>
  <c r="Y1035" i="1" s="1"/>
  <c r="T1036" i="1"/>
  <c r="Y1036" i="1" s="1"/>
  <c r="T1037" i="1"/>
  <c r="Y1037" i="1" s="1"/>
  <c r="T1038" i="1"/>
  <c r="Y1038" i="1" s="1"/>
  <c r="T1039" i="1"/>
  <c r="Y1039" i="1" s="1"/>
  <c r="T1040" i="1"/>
  <c r="Y1040" i="1" s="1"/>
  <c r="T1041" i="1"/>
  <c r="Y1041" i="1" s="1"/>
  <c r="T1042" i="1"/>
  <c r="Y1042" i="1" s="1"/>
  <c r="T1043" i="1"/>
  <c r="Y1043" i="1" s="1"/>
  <c r="T1044" i="1"/>
  <c r="Y1044" i="1" s="1"/>
  <c r="T1045" i="1"/>
  <c r="Y1045" i="1" s="1"/>
  <c r="T1046" i="1"/>
  <c r="Y1046" i="1" s="1"/>
  <c r="T1047" i="1"/>
  <c r="Y1047" i="1" s="1"/>
  <c r="T1048" i="1"/>
  <c r="Y1048" i="1" s="1"/>
  <c r="T1049" i="1"/>
  <c r="Y1049" i="1" s="1"/>
  <c r="T1050" i="1"/>
  <c r="Y1050" i="1" s="1"/>
  <c r="T1051" i="1"/>
  <c r="Y1051" i="1" s="1"/>
  <c r="T1052" i="1"/>
  <c r="Y1052" i="1" s="1"/>
  <c r="T1053" i="1"/>
  <c r="Y1053" i="1" s="1"/>
  <c r="T1054" i="1"/>
  <c r="Y1054" i="1" s="1"/>
  <c r="T1055" i="1"/>
  <c r="Y1055" i="1" s="1"/>
  <c r="T1056" i="1"/>
  <c r="Y1056" i="1" s="1"/>
  <c r="T1057" i="1"/>
  <c r="Y1057" i="1" s="1"/>
  <c r="T1058" i="1"/>
  <c r="Y1058" i="1" s="1"/>
  <c r="T1059" i="1"/>
  <c r="Y1059" i="1" s="1"/>
  <c r="T1060" i="1"/>
  <c r="Y1060" i="1" s="1"/>
  <c r="T1061" i="1"/>
  <c r="Y1061" i="1" s="1"/>
  <c r="T1062" i="1"/>
  <c r="Y1062" i="1" s="1"/>
  <c r="T1063" i="1"/>
  <c r="Y1063" i="1" s="1"/>
  <c r="T1064" i="1"/>
  <c r="Y1064" i="1" s="1"/>
  <c r="T1065" i="1"/>
  <c r="Y1065" i="1" s="1"/>
  <c r="T1066" i="1"/>
  <c r="Y1066" i="1" s="1"/>
  <c r="T1067" i="1"/>
  <c r="Y1067" i="1" s="1"/>
  <c r="T1068" i="1"/>
  <c r="Y1068" i="1" s="1"/>
  <c r="T1069" i="1"/>
  <c r="Y1069" i="1" s="1"/>
  <c r="T1070" i="1"/>
  <c r="Y1070" i="1" s="1"/>
  <c r="T1071" i="1"/>
  <c r="Y1071" i="1" s="1"/>
  <c r="T1072" i="1"/>
  <c r="Y1072" i="1" s="1"/>
  <c r="T1073" i="1"/>
  <c r="Y1073" i="1" s="1"/>
  <c r="T1074" i="1"/>
  <c r="Y1074" i="1" s="1"/>
  <c r="T1075" i="1"/>
  <c r="Y1075" i="1" s="1"/>
  <c r="T1076" i="1"/>
  <c r="Y1076" i="1" s="1"/>
  <c r="T1077" i="1"/>
  <c r="Y1077" i="1" s="1"/>
  <c r="T1078" i="1"/>
  <c r="Y1078" i="1" s="1"/>
  <c r="T1079" i="1"/>
  <c r="Y1079" i="1" s="1"/>
  <c r="T1080" i="1"/>
  <c r="Y1080" i="1" s="1"/>
  <c r="T1081" i="1"/>
  <c r="Y1081" i="1" s="1"/>
  <c r="T1082" i="1"/>
  <c r="Y1082" i="1" s="1"/>
  <c r="T1083" i="1"/>
  <c r="Y1083" i="1" s="1"/>
  <c r="T1084" i="1"/>
  <c r="Y1084" i="1" s="1"/>
  <c r="T1085" i="1"/>
  <c r="Y1085" i="1" s="1"/>
  <c r="T1086" i="1"/>
  <c r="Y1086" i="1" s="1"/>
  <c r="T1087" i="1"/>
  <c r="Y1087" i="1" s="1"/>
  <c r="T1088" i="1"/>
  <c r="Y1088" i="1" s="1"/>
  <c r="T1089" i="1"/>
  <c r="Y1089" i="1" s="1"/>
  <c r="T1090" i="1"/>
  <c r="Y1090" i="1" s="1"/>
  <c r="T1091" i="1"/>
  <c r="Y1091" i="1" s="1"/>
  <c r="T1092" i="1"/>
  <c r="Y1092" i="1" s="1"/>
  <c r="T1093" i="1"/>
  <c r="Y1093" i="1" s="1"/>
  <c r="T1094" i="1"/>
  <c r="Y1094" i="1" s="1"/>
  <c r="T1095" i="1"/>
  <c r="Y1095" i="1" s="1"/>
  <c r="T1096" i="1"/>
  <c r="Y1096" i="1" s="1"/>
  <c r="T1097" i="1"/>
  <c r="Y1097" i="1" s="1"/>
  <c r="T1098" i="1"/>
  <c r="Y1098" i="1" s="1"/>
  <c r="T1099" i="1"/>
  <c r="Y1099" i="1" s="1"/>
  <c r="T1100" i="1"/>
  <c r="Y1100" i="1" s="1"/>
  <c r="T1101" i="1"/>
  <c r="Y1101" i="1" s="1"/>
  <c r="T1102" i="1"/>
  <c r="Y1102" i="1" s="1"/>
  <c r="T4" i="1"/>
  <c r="R5" i="1"/>
  <c r="V8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V5" i="1"/>
  <c r="V6" i="1"/>
  <c r="V7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X4" i="1"/>
  <c r="V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4" i="1"/>
  <c r="R4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6" i="1"/>
  <c r="Y6" i="1" l="1"/>
  <c r="Y5" i="1"/>
  <c r="Y4" i="1"/>
</calcChain>
</file>

<file path=xl/sharedStrings.xml><?xml version="1.0" encoding="utf-8"?>
<sst xmlns="http://schemas.openxmlformats.org/spreadsheetml/2006/main" count="3763" uniqueCount="1264">
  <si>
    <t>Participación excepcional, motor clave del equipo</t>
  </si>
  <si>
    <t>Participación sobresaliente, liderazgo activo</t>
  </si>
  <si>
    <t>Participación alta, proactiva y comprometida</t>
  </si>
  <si>
    <t>Buena participación, colabora con constancia</t>
  </si>
  <si>
    <t>Participa activamente en algunas actividades</t>
  </si>
  <si>
    <t>Participación regular, cumple lo básico</t>
  </si>
  <si>
    <t>Participa ocasionalmente, requiere motivación externa</t>
  </si>
  <si>
    <t>Participación baja e inconstante</t>
  </si>
  <si>
    <t>Participa muy rara vez, mínima interacción</t>
  </si>
  <si>
    <t>Casi nunca participa, ausencias constantes</t>
  </si>
  <si>
    <t>Compromiso bajo, requiere constante supervisión</t>
  </si>
  <si>
    <t>Compromiso débil, cumple parcialmente</t>
  </si>
  <si>
    <t>Compromiso básico, cumple lo mínimo esperado</t>
  </si>
  <si>
    <t>Compromiso aceptable, responde cuando se le solicita</t>
  </si>
  <si>
    <t>Buen compromiso, responsable y confiable</t>
  </si>
  <si>
    <t>Compromiso alto, constante y fiel</t>
  </si>
  <si>
    <t>Compromiso ejemplar, referente para otros</t>
  </si>
  <si>
    <t>Compromiso excepcional, modelo de fidelidad y entrega</t>
  </si>
  <si>
    <t>PUNTAJE</t>
  </si>
  <si>
    <r>
      <t xml:space="preserve">PARTICIPACIÓN
</t>
    </r>
    <r>
      <rPr>
        <i/>
        <u/>
        <sz val="8"/>
        <rFont val="Arial"/>
        <family val="2"/>
      </rPr>
      <t>(En el Altar de Oración 24/7, en actividades para la unidad espiritual, en capacitaciones, en gestión social, en planeación)</t>
    </r>
  </si>
  <si>
    <r>
      <t xml:space="preserve">COMPROMISO 
</t>
    </r>
    <r>
      <rPr>
        <i/>
        <u/>
        <sz val="8"/>
        <rFont val="Arial"/>
        <family val="2"/>
      </rPr>
      <t>(Disposición y disponibilidad para asumir responsabiloidades y entregar resultados de manera oportuna y eficaz)</t>
    </r>
  </si>
  <si>
    <t xml:space="preserve">CONSOLIDADO INTERNACIONAL DE VOLUNTARIADO CERTIFICADO POR LOS LIDERES DE CADA LUGAR O ÁREA - FHSYL 
DIRECCIÓN FINANCIERA </t>
  </si>
  <si>
    <t>UBICACIÓN GEOGRÁFICA</t>
  </si>
  <si>
    <t>DATOS DE CONTACTO DEL VOLUNTARIO</t>
  </si>
  <si>
    <t>ASIGNACIÓN Y TIEMPO DEL VOLUNTARIO EN LA FUNDACIÓN</t>
  </si>
  <si>
    <t>Compromiso deficiente, irresponsabilidad frecuente</t>
  </si>
  <si>
    <t>Compromiso muy bajo evidenciado en incumplimientos reiterados</t>
  </si>
  <si>
    <t xml:space="preserve"> VALORACIÓN DE LA GESTIÓN DEL VOLUNTARIO</t>
  </si>
  <si>
    <t>Diferentes tipo de IDENTIFICACIÓN</t>
  </si>
  <si>
    <t>DNI</t>
  </si>
  <si>
    <t> CPF</t>
  </si>
  <si>
    <t>Colombia</t>
  </si>
  <si>
    <t>C.C</t>
  </si>
  <si>
    <t>INE</t>
  </si>
  <si>
    <t>Argentina</t>
  </si>
  <si>
    <t>C.I</t>
  </si>
  <si>
    <t>chile</t>
  </si>
  <si>
    <t>Brasil</t>
  </si>
  <si>
    <t>SSN</t>
  </si>
  <si>
    <t>EEUU</t>
  </si>
  <si>
    <t>LICENCIA DE CONDUCIR</t>
  </si>
  <si>
    <t>México</t>
  </si>
  <si>
    <t>CANADÁ</t>
  </si>
  <si>
    <t>IDENTIFICACIÓN DEL LÍDER DE VOLUNTARIADO QUIEN REALIZÓ LA VALORACIÓN</t>
  </si>
  <si>
    <t>País</t>
  </si>
  <si>
    <r>
      <t xml:space="preserve">COMPROMISO 
</t>
    </r>
    <r>
      <rPr>
        <i/>
        <u/>
        <sz val="8"/>
        <rFont val="Arial"/>
        <family val="2"/>
      </rPr>
      <t>(Disposición y disponibilidad para asumir responsabilidades y entregar resultados de manera oportuna y eficaz)</t>
    </r>
  </si>
  <si>
    <t>PAÍS</t>
  </si>
  <si>
    <t>COLOMBIA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</si>
  <si>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</si>
  <si>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</si>
  <si>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</si>
  <si>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</si>
  <si>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</si>
  <si>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</si>
  <si>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</si>
  <si>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</si>
  <si>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</si>
  <si>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</si>
  <si>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</si>
  <si>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</si>
  <si>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</si>
  <si>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</si>
  <si>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</si>
  <si>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</si>
  <si>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</si>
  <si>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</si>
  <si>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</si>
  <si>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</si>
  <si>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</si>
  <si>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</si>
  <si>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</si>
  <si>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</si>
  <si>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</si>
  <si>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</si>
  <si>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</si>
  <si>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</si>
  <si>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</si>
  <si>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</si>
  <si>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</si>
  <si>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</si>
  <si>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</si>
  <si>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</si>
  <si>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</si>
  <si>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</si>
  <si>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</si>
  <si>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</si>
  <si>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</si>
  <si>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</si>
  <si>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</si>
  <si>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</si>
  <si>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</si>
  <si>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</si>
  <si>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</si>
  <si>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</si>
  <si>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</si>
  <si>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</si>
  <si>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</si>
  <si>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</si>
  <si>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</si>
  <si>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</si>
  <si>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</si>
  <si>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</si>
  <si>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</si>
  <si>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</si>
  <si>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</si>
  <si>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</si>
  <si>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</si>
  <si>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</si>
  <si>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</si>
  <si>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</si>
  <si>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</si>
  <si>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</si>
  <si>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</si>
  <si>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</si>
  <si>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</si>
  <si>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</si>
  <si>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</si>
  <si>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</si>
  <si>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</si>
  <si>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</si>
  <si>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</si>
  <si>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</si>
  <si>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</si>
  <si>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</si>
  <si>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</si>
  <si>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</si>
  <si>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</si>
  <si>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</si>
  <si>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</si>
  <si>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</si>
  <si>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</si>
  <si>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</si>
  <si>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</si>
  <si>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</si>
  <si>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</si>
  <si>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</si>
  <si>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</si>
  <si>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</si>
  <si>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</si>
  <si>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</si>
  <si>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</si>
  <si>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</si>
  <si>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</si>
  <si>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</si>
  <si>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</si>
  <si>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</si>
  <si>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</si>
  <si>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</si>
  <si>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</si>
  <si>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</si>
  <si>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</si>
  <si>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</si>
  <si>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</si>
  <si>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</si>
  <si>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</si>
  <si>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</si>
  <si>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</si>
  <si>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</si>
  <si>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</si>
  <si>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</si>
  <si>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</si>
  <si>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</si>
  <si>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</si>
  <si>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</si>
  <si>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</si>
  <si>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</si>
  <si>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</si>
  <si>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</si>
  <si>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</si>
  <si>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</si>
  <si>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</si>
  <si>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</si>
  <si>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</si>
  <si>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</si>
  <si>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ATLÁNTICO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</si>
  <si>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</si>
  <si>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</si>
  <si>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</si>
  <si>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</si>
  <si>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</si>
  <si>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</si>
  <si>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</si>
  <si>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</si>
  <si>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</si>
  <si>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</si>
  <si>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</si>
  <si>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</si>
  <si>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</si>
  <si>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</si>
  <si>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</si>
  <si>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</si>
  <si>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</si>
  <si>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</si>
  <si>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</si>
  <si>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</si>
  <si>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</si>
  <si>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</si>
  <si>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BOGOTÁ, D.C.</t>
  </si>
  <si>
    <t>BOLÍVAR</t>
  </si>
  <si>
    <t>CARTAGENA DE INDIAS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</si>
  <si>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</si>
  <si>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</si>
  <si>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</si>
  <si>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</si>
  <si>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</si>
  <si>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</si>
  <si>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</si>
  <si>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</si>
  <si>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</si>
  <si>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</si>
  <si>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</si>
  <si>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</si>
  <si>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</si>
  <si>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</si>
  <si>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</si>
  <si>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</si>
  <si>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</si>
  <si>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</si>
  <si>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</si>
  <si>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</si>
  <si>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MOMPÓS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</si>
  <si>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</si>
  <si>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</si>
  <si>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</si>
  <si>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</si>
  <si>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</si>
  <si>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</si>
  <si>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</si>
  <si>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</si>
  <si>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</si>
  <si>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</si>
  <si>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</si>
  <si>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</si>
  <si>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</si>
  <si>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</si>
  <si>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</si>
  <si>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</si>
  <si>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</si>
  <si>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</si>
  <si>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</si>
  <si>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</si>
  <si>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</si>
  <si>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</si>
  <si>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</si>
  <si>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</si>
  <si>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BOYACÁ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</si>
  <si>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</si>
  <si>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</si>
  <si>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</si>
  <si>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</si>
  <si>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</si>
  <si>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</si>
  <si>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</si>
  <si>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</si>
  <si>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</si>
  <si>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</si>
  <si>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</si>
  <si>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</si>
  <si>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</si>
  <si>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</si>
  <si>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</si>
  <si>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</si>
  <si>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</si>
  <si>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</si>
  <si>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</si>
  <si>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</si>
  <si>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</si>
  <si>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</si>
  <si>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</si>
  <si>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</si>
  <si>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</si>
  <si>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</si>
  <si>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</si>
  <si>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</si>
  <si>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</si>
  <si>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</si>
  <si>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</si>
  <si>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</si>
  <si>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</si>
  <si>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</si>
  <si>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</si>
  <si>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</si>
  <si>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</si>
  <si>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</si>
  <si>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</si>
  <si>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</si>
  <si>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</si>
  <si>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</si>
  <si>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</si>
  <si>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</si>
  <si>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</si>
  <si>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</si>
  <si>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</si>
  <si>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</si>
  <si>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</si>
  <si>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</si>
  <si>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</si>
  <si>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</si>
  <si>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</si>
  <si>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</si>
  <si>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</si>
  <si>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</si>
  <si>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</si>
  <si>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</si>
  <si>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</si>
  <si>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</si>
  <si>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</si>
  <si>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</si>
  <si>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</si>
  <si>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</si>
  <si>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</si>
  <si>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</si>
  <si>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</si>
  <si>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</si>
  <si>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</si>
  <si>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</si>
  <si>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</si>
  <si>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</si>
  <si>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</si>
  <si>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</si>
  <si>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</si>
  <si>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</si>
  <si>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</si>
  <si>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</si>
  <si>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</si>
  <si>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</si>
  <si>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</si>
  <si>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</si>
  <si>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</si>
  <si>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</si>
  <si>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</si>
  <si>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</si>
  <si>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</si>
  <si>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</si>
  <si>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</si>
  <si>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</si>
  <si>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</si>
  <si>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</si>
  <si>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</si>
  <si>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</si>
  <si>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</si>
  <si>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</si>
  <si>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</si>
  <si>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</si>
  <si>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</si>
  <si>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</si>
  <si>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</si>
  <si>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</si>
  <si>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</si>
  <si>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</si>
  <si>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</si>
  <si>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</si>
  <si>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</si>
  <si>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</si>
  <si>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</si>
  <si>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</si>
  <si>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</si>
  <si>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</si>
  <si>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</si>
  <si>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</si>
  <si>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</si>
  <si>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</si>
  <si>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</si>
  <si>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</si>
  <si>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</si>
  <si>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</si>
  <si>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</si>
  <si>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</si>
  <si>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</si>
  <si>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</si>
  <si>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</si>
  <si>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</si>
  <si>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</si>
  <si>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</si>
  <si>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</si>
  <si>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</si>
  <si>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</si>
  <si>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</si>
  <si>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</si>
  <si>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</si>
  <si>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</si>
  <si>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</si>
  <si>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</si>
  <si>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</si>
  <si>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</si>
  <si>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</si>
  <si>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</si>
  <si>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</si>
  <si>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</si>
  <si>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</si>
  <si>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</si>
  <si>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</si>
  <si>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</si>
  <si>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</si>
  <si>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</si>
  <si>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</si>
  <si>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</si>
  <si>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</si>
  <si>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</si>
  <si>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</si>
  <si>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</si>
  <si>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</si>
  <si>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</si>
  <si>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</si>
  <si>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</si>
  <si>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</si>
  <si>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</si>
  <si>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</si>
  <si>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CAUCA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</si>
  <si>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</si>
  <si>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</si>
  <si>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</si>
  <si>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</si>
  <si>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</si>
  <si>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</si>
  <si>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</si>
  <si>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</si>
  <si>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</si>
  <si>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</si>
  <si>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GUAPÍ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</si>
  <si>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</si>
  <si>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</si>
  <si>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</si>
  <si>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</si>
  <si>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</si>
  <si>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</si>
  <si>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</si>
  <si>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</si>
  <si>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</si>
  <si>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</si>
  <si>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</t>
  </si>
  <si>
    <t>PUERTO TEJADA</t>
  </si>
  <si>
    <t>PURACÉ</t>
  </si>
  <si>
    <t>ROSAS</t>
  </si>
  <si>
    <t>SAN SEBASTIÁN</t>
  </si>
  <si>
    <t>SANTANDER DE QUILICHAO</t>
  </si>
  <si>
    <t>SILVIA</t>
  </si>
  <si>
    <t>SOTARA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</si>
  <si>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</si>
  <si>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</si>
  <si>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</si>
  <si>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</si>
  <si>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</si>
  <si>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</si>
  <si>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</si>
  <si>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</si>
  <si>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</si>
  <si>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</si>
  <si>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</si>
  <si>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</si>
  <si>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</si>
  <si>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</si>
  <si>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</si>
  <si>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</si>
  <si>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</si>
  <si>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</si>
  <si>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</si>
  <si>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</si>
  <si>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</si>
  <si>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</si>
  <si>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</si>
  <si>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</si>
  <si>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</si>
  <si>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</si>
  <si>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</si>
  <si>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</si>
  <si>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</si>
  <si>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</si>
  <si>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</si>
  <si>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</si>
  <si>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</si>
  <si>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</si>
  <si>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</si>
  <si>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</si>
  <si>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</si>
  <si>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</si>
  <si>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</si>
  <si>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</si>
  <si>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</si>
  <si>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</si>
  <si>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</si>
  <si>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</si>
  <si>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</si>
  <si>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</si>
  <si>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</si>
  <si>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</si>
  <si>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</si>
  <si>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</si>
  <si>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</si>
  <si>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</si>
  <si>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</si>
  <si>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</si>
  <si>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</si>
  <si>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</si>
  <si>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</si>
  <si>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</si>
  <si>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</si>
  <si>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</si>
  <si>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</si>
  <si>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</si>
  <si>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</si>
  <si>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</si>
  <si>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</si>
  <si>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</si>
  <si>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</si>
  <si>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</si>
  <si>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</si>
  <si>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</si>
  <si>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</si>
  <si>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</si>
  <si>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</si>
  <si>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</si>
  <si>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</si>
  <si>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</si>
  <si>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</si>
  <si>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</si>
  <si>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</si>
  <si>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</si>
  <si>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</si>
  <si>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</si>
  <si>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</si>
  <si>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</si>
  <si>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</si>
  <si>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</si>
  <si>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</si>
  <si>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</si>
  <si>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</si>
  <si>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</si>
  <si>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</si>
  <si>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</si>
  <si>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</si>
  <si>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</si>
  <si>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</si>
  <si>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</si>
  <si>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</si>
  <si>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</si>
  <si>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</si>
  <si>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</si>
  <si>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</si>
  <si>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</si>
  <si>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</si>
  <si>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</si>
  <si>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</si>
  <si>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</si>
  <si>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</si>
  <si>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</si>
  <si>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</si>
  <si>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</si>
  <si>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</si>
  <si>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</si>
  <si>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</si>
  <si>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</si>
  <si>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</si>
  <si>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</si>
  <si>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</si>
  <si>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</si>
  <si>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</si>
  <si>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</si>
  <si>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</si>
  <si>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</si>
  <si>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</si>
  <si>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</si>
  <si>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</si>
  <si>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</si>
  <si>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</si>
  <si>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</si>
  <si>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</si>
  <si>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</si>
  <si>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</si>
  <si>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</si>
  <si>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</si>
  <si>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</si>
  <si>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</si>
  <si>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</si>
  <si>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</si>
  <si>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</si>
  <si>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</si>
  <si>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</si>
  <si>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</si>
  <si>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</si>
  <si>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</si>
  <si>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</si>
  <si>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</si>
  <si>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</si>
  <si>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</si>
  <si>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</si>
  <si>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</si>
  <si>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</si>
  <si>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</si>
  <si>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</si>
  <si>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</si>
  <si>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</si>
  <si>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</si>
  <si>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</si>
  <si>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</si>
  <si>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</si>
  <si>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</si>
  <si>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</si>
  <si>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</si>
  <si>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</si>
  <si>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</si>
  <si>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</si>
  <si>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</si>
  <si>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</si>
  <si>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</si>
  <si>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</si>
  <si>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</si>
  <si>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</si>
  <si>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</si>
  <si>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</si>
  <si>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</si>
  <si>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</si>
  <si>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</si>
  <si>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</si>
  <si>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</si>
  <si>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</si>
  <si>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</si>
  <si>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</si>
  <si>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</si>
  <si>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</si>
  <si>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</si>
  <si>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</si>
  <si>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</si>
  <si>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</si>
  <si>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</si>
  <si>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</si>
  <si>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</si>
  <si>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</si>
  <si>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</si>
  <si>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</si>
  <si>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</si>
  <si>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</si>
  <si>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</si>
  <si>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</si>
  <si>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</si>
  <si>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</si>
  <si>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</si>
  <si>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</si>
  <si>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</si>
  <si>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</si>
  <si>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</si>
  <si>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</si>
  <si>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</si>
  <si>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</si>
  <si>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</si>
  <si>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</si>
  <si>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</si>
  <si>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</si>
  <si>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</si>
  <si>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</si>
  <si>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</si>
  <si>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</si>
  <si>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</si>
  <si>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</si>
  <si>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</si>
  <si>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</si>
  <si>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</si>
  <si>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</si>
  <si>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</si>
  <si>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</si>
  <si>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</si>
  <si>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</si>
  <si>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</si>
  <si>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</si>
  <si>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</si>
  <si>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</si>
  <si>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</si>
  <si>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</si>
  <si>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</si>
  <si>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</si>
  <si>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</si>
  <si>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</si>
  <si>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</si>
  <si>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</si>
  <si>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</si>
  <si>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</si>
  <si>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</si>
  <si>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</si>
  <si>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</si>
  <si>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</si>
  <si>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</si>
  <si>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</si>
  <si>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</si>
  <si>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</si>
  <si>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</si>
  <si>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</si>
  <si>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</si>
  <si>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</si>
  <si>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</si>
  <si>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</si>
  <si>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</si>
  <si>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</si>
  <si>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</si>
  <si>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</si>
  <si>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</si>
  <si>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</si>
  <si>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</si>
  <si>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</si>
  <si>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</si>
  <si>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</si>
  <si>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</si>
  <si>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</si>
  <si>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</si>
  <si>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</si>
  <si>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</si>
  <si>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</si>
  <si>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</si>
  <si>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</si>
  <si>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</si>
  <si>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</si>
  <si>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</si>
  <si>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</si>
  <si>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</si>
  <si>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</si>
  <si>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</si>
  <si>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</si>
  <si>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</si>
  <si>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</si>
  <si>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</si>
  <si>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</si>
  <si>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</si>
  <si>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</si>
  <si>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</si>
  <si>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SAN LUIS DE 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</si>
  <si>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</si>
  <si>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</si>
  <si>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</si>
  <si>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</si>
  <si>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</si>
  <si>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</si>
  <si>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</si>
  <si>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</si>
  <si>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</si>
  <si>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</si>
  <si>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</si>
  <si>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</si>
  <si>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</si>
  <si>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</si>
  <si>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</si>
  <si>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</si>
  <si>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</si>
  <si>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</si>
  <si>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</si>
  <si>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</si>
  <si>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</si>
  <si>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ANCUYÁ</t>
  </si>
  <si>
    <t>ARBOLEDA</t>
  </si>
  <si>
    <t>BARBACOAS</t>
  </si>
  <si>
    <t>BUESACO</t>
  </si>
  <si>
    <t>COLÓN</t>
  </si>
  <si>
    <t>CONSACÁ</t>
  </si>
  <si>
    <t>CONTADERO</t>
  </si>
  <si>
    <t>CUASPÚD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</si>
  <si>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</si>
  <si>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</si>
  <si>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</si>
  <si>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</si>
  <si>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</si>
  <si>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</si>
  <si>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</si>
  <si>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</si>
  <si>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</si>
  <si>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</si>
  <si>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</si>
  <si>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</si>
  <si>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</si>
  <si>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</si>
  <si>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</si>
  <si>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</si>
  <si>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</si>
  <si>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</si>
  <si>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</si>
  <si>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</si>
  <si>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</si>
  <si>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</si>
  <si>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</si>
  <si>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</si>
  <si>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</si>
  <si>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</si>
  <si>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</si>
  <si>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</si>
  <si>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</si>
  <si>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</si>
  <si>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</si>
  <si>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</si>
  <si>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</si>
  <si>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</si>
  <si>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</si>
  <si>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</si>
  <si>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</si>
  <si>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</si>
  <si>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</si>
  <si>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</si>
  <si>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</si>
  <si>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</si>
  <si>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</si>
  <si>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NORTE DE SANTANDER</t>
  </si>
  <si>
    <t>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</si>
  <si>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</si>
  <si>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</si>
  <si>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</si>
  <si>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</si>
  <si>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</si>
  <si>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</si>
  <si>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</si>
  <si>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</si>
  <si>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</si>
  <si>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</si>
  <si>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</si>
  <si>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</si>
  <si>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</si>
  <si>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</si>
  <si>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</si>
  <si>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</si>
  <si>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</si>
  <si>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</si>
  <si>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</si>
  <si>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</si>
  <si>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</si>
  <si>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</si>
  <si>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</si>
  <si>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</si>
  <si>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</si>
  <si>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</si>
  <si>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</si>
  <si>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</si>
  <si>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</si>
  <si>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</si>
  <si>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</si>
  <si>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</si>
  <si>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</si>
  <si>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</si>
  <si>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</si>
  <si>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</si>
  <si>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</si>
  <si>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QUINDIO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</si>
  <si>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</si>
  <si>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</si>
  <si>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</si>
  <si>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</si>
  <si>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</si>
  <si>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</si>
  <si>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</si>
  <si>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</si>
  <si>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</si>
  <si>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</si>
  <si>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</si>
  <si>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</si>
  <si>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</si>
  <si>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</si>
  <si>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</si>
  <si>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</si>
  <si>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</si>
  <si>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</si>
  <si>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</si>
  <si>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</si>
  <si>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</si>
  <si>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</si>
  <si>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</si>
  <si>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</si>
  <si>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</si>
  <si>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</si>
  <si>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</si>
  <si>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</si>
  <si>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</si>
  <si>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</si>
  <si>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</si>
  <si>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</si>
  <si>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</si>
  <si>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</si>
  <si>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</si>
  <si>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</si>
  <si>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</si>
  <si>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</si>
  <si>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</si>
  <si>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</si>
  <si>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</si>
  <si>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</si>
  <si>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</si>
  <si>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</si>
  <si>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</si>
  <si>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</si>
  <si>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</si>
  <si>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</si>
  <si>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</si>
  <si>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</si>
  <si>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</si>
  <si>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</si>
  <si>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</si>
  <si>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</si>
  <si>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</si>
  <si>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</si>
  <si>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</si>
  <si>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</si>
  <si>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</si>
  <si>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</si>
  <si>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</si>
  <si>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</si>
  <si>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</si>
  <si>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</si>
  <si>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</si>
  <si>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</si>
  <si>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</si>
  <si>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</si>
  <si>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</si>
  <si>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</si>
  <si>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</si>
  <si>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</si>
  <si>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</si>
  <si>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</si>
  <si>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</si>
  <si>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</si>
  <si>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</si>
  <si>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</si>
  <si>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</si>
  <si>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</si>
  <si>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</si>
  <si>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</si>
  <si>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</si>
  <si>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</si>
  <si>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</si>
  <si>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</si>
  <si>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</si>
  <si>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</si>
  <si>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</si>
  <si>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</si>
  <si>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</si>
  <si>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</si>
  <si>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</si>
  <si>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</si>
  <si>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</si>
  <si>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</si>
  <si>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</si>
  <si>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</si>
  <si>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</si>
  <si>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</si>
  <si>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</si>
  <si>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</si>
  <si>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</si>
  <si>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</si>
  <si>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</si>
  <si>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</si>
  <si>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</si>
  <si>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</si>
  <si>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</si>
  <si>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</si>
  <si>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</si>
  <si>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</si>
  <si>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</si>
  <si>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</si>
  <si>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</si>
  <si>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</si>
  <si>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</si>
  <si>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</si>
  <si>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</si>
  <si>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TOLÚ VIEJO</t>
  </si>
  <si>
    <t>TOLIMA</t>
  </si>
  <si>
    <t>IBAGUÉ</t>
  </si>
  <si>
    <t>ALPUJARRA</t>
  </si>
  <si>
    <t>ALVARADO</t>
  </si>
  <si>
    <t>AMBALEMA</t>
  </si>
  <si>
    <t>ANZOÁTEGUI</t>
  </si>
  <si>
    <t>ARMERO GUAYABAL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</si>
  <si>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</si>
  <si>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</si>
  <si>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</si>
  <si>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</si>
  <si>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</si>
  <si>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</si>
  <si>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</si>
  <si>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</si>
  <si>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</si>
  <si>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</si>
  <si>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</si>
  <si>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</si>
  <si>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</si>
  <si>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</si>
  <si>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</si>
  <si>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</si>
  <si>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</si>
  <si>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</si>
  <si>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</si>
  <si>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</si>
  <si>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</si>
  <si>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</si>
  <si>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</si>
  <si>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</si>
  <si>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</si>
  <si>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</si>
  <si>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</si>
  <si>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</si>
  <si>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</si>
  <si>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</si>
  <si>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</si>
  <si>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</si>
  <si>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</si>
  <si>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</si>
  <si>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</si>
  <si>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</si>
  <si>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</si>
  <si>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</si>
  <si>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</si>
  <si>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</si>
  <si>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</si>
  <si>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</si>
  <si>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</si>
  <si>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</si>
  <si>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</si>
  <si>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</si>
  <si>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</si>
  <si>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</si>
  <si>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</si>
  <si>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</si>
  <si>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</si>
  <si>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</si>
  <si>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</si>
  <si>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</si>
  <si>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</si>
  <si>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</si>
  <si>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</si>
  <si>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</si>
  <si>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</si>
  <si>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</si>
  <si>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</si>
  <si>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</si>
  <si>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</si>
  <si>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</si>
  <si>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</si>
  <si>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</si>
  <si>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</si>
  <si>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</si>
  <si>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</si>
  <si>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</si>
  <si>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</si>
  <si>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</si>
  <si>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</si>
  <si>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</si>
  <si>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</si>
  <si>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</si>
  <si>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</si>
  <si>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</si>
  <si>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</si>
  <si>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RONDÓN</t>
  </si>
  <si>
    <t>SARAVENA</t>
  </si>
  <si>
    <t>TAME</t>
  </si>
  <si>
    <t>CASANARE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</si>
  <si>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</si>
  <si>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</si>
  <si>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</si>
  <si>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</si>
  <si>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</si>
  <si>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</si>
  <si>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</si>
  <si>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</si>
  <si>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</si>
  <si>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</si>
  <si>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</si>
  <si>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</si>
  <si>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</si>
  <si>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</si>
  <si>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</si>
  <si>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</si>
  <si>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</si>
  <si>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</si>
  <si>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</si>
  <si>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</si>
  <si>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</si>
  <si>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</si>
  <si>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</si>
  <si>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</si>
  <si>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</si>
  <si>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</si>
  <si>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</si>
  <si>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ARCHIPIÉLAGO DE SAN ANDRÉS, PROVIDENCIA Y SANTA CATALINA</t>
  </si>
  <si>
    <t>AMAZONAS</t>
  </si>
  <si>
    <t>LETICIA</t>
  </si>
  <si>
    <t>PUERTO NARIÑO</t>
  </si>
  <si>
    <t>GUAINÍA</t>
  </si>
  <si>
    <t>INÍRIDA</t>
  </si>
  <si>
    <t>GUAVIARE</t>
  </si>
  <si>
    <t>SAN JOSÉ DEL GUAVIARE</t>
  </si>
  <si>
    <t>EL RETORNO</t>
  </si>
  <si>
    <t>VAUPÉS</t>
  </si>
  <si>
    <t>MITÚ</t>
  </si>
  <si>
    <t>CARURÚ</t>
  </si>
  <si>
    <t>TARAIRA</t>
  </si>
  <si>
    <t>VICHADA</t>
  </si>
  <si>
    <t>PUERTO CARREÑO</t>
  </si>
  <si>
    <t>LA PRIMAVERA</t>
  </si>
  <si>
    <t>SANTA ROSALÍA</t>
  </si>
  <si>
    <t>CUMARIBO</t>
  </si>
  <si>
    <t>SUR AMÉRICA</t>
  </si>
  <si>
    <t xml:space="preserve">Continente </t>
  </si>
  <si>
    <t>Municipio</t>
  </si>
  <si>
    <t xml:space="preserve">Departamento </t>
  </si>
  <si>
    <t>N DE SANTANDER</t>
  </si>
  <si>
    <t>VALLE DEL C</t>
  </si>
  <si>
    <t xml:space="preserve">BOGOTÁ  </t>
  </si>
  <si>
    <t>A. SAN ANDRÉS</t>
  </si>
  <si>
    <t>CHOCO</t>
  </si>
  <si>
    <t>REGIONES</t>
  </si>
  <si>
    <t>R_ANDINA</t>
  </si>
  <si>
    <t>R_CARIBE</t>
  </si>
  <si>
    <t>R_ORINOQUIA</t>
  </si>
  <si>
    <t>R_INSULAR</t>
  </si>
  <si>
    <t>DPTO.</t>
  </si>
  <si>
    <t>QUINDÍO</t>
  </si>
  <si>
    <t>BOGOTÁ D.C</t>
  </si>
  <si>
    <t>R_PACÍFICA</t>
  </si>
  <si>
    <t>R_AMAZONÍA</t>
  </si>
  <si>
    <t>IDENTIFICACIÓN DEL VOLUNTARIO</t>
  </si>
  <si>
    <t>PUNTAJE FINAL</t>
  </si>
  <si>
    <t>NIVELES DE GESTIÓN</t>
  </si>
  <si>
    <r>
      <rPr>
        <b/>
        <sz val="12"/>
        <color theme="1"/>
        <rFont val="Aptos Narrow"/>
        <family val="2"/>
        <scheme val="minor"/>
      </rPr>
      <t>Gobierno y Gestión Estratégica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rgb="FFFF0000"/>
        <rFont val="Aptos Narrow"/>
        <family val="2"/>
        <scheme val="minor"/>
      </rPr>
      <t>Global</t>
    </r>
    <r>
      <rPr>
        <sz val="12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Gobierno corporativo y supervisión estratégica, alta dirección, alto nivel de decisiones, alto impacto en gestión. </t>
    </r>
    <r>
      <rPr>
        <b/>
        <sz val="10"/>
        <color theme="1"/>
        <rFont val="Aptos Narrow"/>
        <family val="2"/>
        <scheme val="minor"/>
      </rPr>
      <t>Responsabilidad por resultados globales: Transversal a TODOS las Áreas, Programas y Proyectos en TODOS los continentes</t>
    </r>
  </si>
  <si>
    <r>
      <rPr>
        <b/>
        <sz val="12"/>
        <color theme="1"/>
        <rFont val="Aptos Narrow"/>
        <family val="2"/>
        <scheme val="minor"/>
      </rPr>
      <t xml:space="preserve">Direcciones Programáticas y Áreas de Gestión </t>
    </r>
    <r>
      <rPr>
        <b/>
        <sz val="12"/>
        <color rgb="FFFF0000"/>
        <rFont val="Aptos Narrow"/>
        <family val="2"/>
        <scheme val="minor"/>
      </rPr>
      <t>Internacional</t>
    </r>
    <r>
      <rPr>
        <b/>
        <sz val="12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Máxima autoridad operacional, Diseño de políticas, definición de indicadores y estándares de calidad. </t>
    </r>
    <r>
      <rPr>
        <b/>
        <sz val="10"/>
        <color theme="1"/>
        <rFont val="Aptos Narrow"/>
        <family val="2"/>
        <scheme val="minor"/>
      </rPr>
      <t>Responsabilidad por  resultados de UN programa en TODOS los continentes</t>
    </r>
  </si>
  <si>
    <r>
      <rPr>
        <b/>
        <sz val="12"/>
        <color theme="1"/>
        <rFont val="Aptos Narrow"/>
        <family val="2"/>
        <scheme val="minor"/>
      </rPr>
      <t xml:space="preserve">Direcciones de Programas en </t>
    </r>
    <r>
      <rPr>
        <b/>
        <sz val="12"/>
        <color rgb="FFFF0000"/>
        <rFont val="Aptos Narrow"/>
        <family val="2"/>
        <scheme val="minor"/>
      </rPr>
      <t>Continentes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Estrategia de intervención y supervisión en el grupo de países que conforman la macroregión. </t>
    </r>
    <r>
      <rPr>
        <b/>
        <sz val="10"/>
        <color theme="1"/>
        <rFont val="Aptos Narrow"/>
        <family val="2"/>
        <scheme val="minor"/>
      </rPr>
      <t>Responsabilidad por resultados de UN programa en UN continente o en UNA macroregión específica</t>
    </r>
    <r>
      <rPr>
        <sz val="10"/>
        <color theme="1"/>
        <rFont val="Aptos Narrow"/>
        <family val="2"/>
        <scheme val="minor"/>
      </rPr>
      <t>: Suramérica, Europa Central, Africa ...)</t>
    </r>
  </si>
  <si>
    <r>
      <rPr>
        <b/>
        <sz val="12"/>
        <color theme="1"/>
        <rFont val="Aptos Narrow"/>
        <family val="2"/>
        <scheme val="minor"/>
      </rPr>
      <t xml:space="preserve">Dirección Ejecutiva </t>
    </r>
    <r>
      <rPr>
        <b/>
        <sz val="12"/>
        <color rgb="FFFF0000"/>
        <rFont val="Aptos Narrow"/>
        <family val="2"/>
        <scheme val="minor"/>
      </rPr>
      <t>Nacional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Máximo nivel de  autoridad por país, gestión de proyectos y presupuestos. Responsabilidad por </t>
    </r>
    <r>
      <rPr>
        <b/>
        <sz val="10"/>
        <color theme="1"/>
        <rFont val="Aptos Narrow"/>
        <family val="2"/>
        <scheme val="minor"/>
      </rPr>
      <t>resultados de TODOS los programas y proyectos implementados en UN país específico</t>
    </r>
    <r>
      <rPr>
        <sz val="10"/>
        <color theme="1"/>
        <rFont val="Aptos Narrow"/>
        <family val="2"/>
        <scheme val="minor"/>
      </rPr>
      <t>), )</t>
    </r>
  </si>
  <si>
    <r>
      <rPr>
        <b/>
        <sz val="12"/>
        <color theme="1"/>
        <rFont val="Aptos Narrow"/>
        <family val="2"/>
        <scheme val="minor"/>
      </rPr>
      <t xml:space="preserve">Dirección Ejecutiva </t>
    </r>
    <r>
      <rPr>
        <b/>
        <sz val="12"/>
        <color rgb="FFFF0000"/>
        <rFont val="Aptos Narrow"/>
        <family val="2"/>
        <scheme val="minor"/>
      </rPr>
      <t>Región</t>
    </r>
    <r>
      <rPr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Supervisión de Programas y proyectos y presupuestos: </t>
    </r>
    <r>
      <rPr>
        <b/>
        <sz val="10"/>
        <color theme="1"/>
        <rFont val="Aptos Narrow"/>
        <family val="2"/>
        <scheme val="minor"/>
      </rPr>
      <t>Responsabilidad por resultados en TODOS los programas y proyectos implementados en los departamentos/estados que conforman UNA región específica en un país</t>
    </r>
  </si>
  <si>
    <r>
      <rPr>
        <b/>
        <sz val="12"/>
        <color theme="1"/>
        <rFont val="Aptos Narrow"/>
        <family val="2"/>
        <scheme val="minor"/>
      </rPr>
      <t xml:space="preserve">Equipo de profesionales vinculados a la Gestión  </t>
    </r>
    <r>
      <rPr>
        <b/>
        <sz val="12"/>
        <color rgb="FFFF0000"/>
        <rFont val="Aptos Narrow"/>
        <family val="2"/>
        <scheme val="minor"/>
      </rPr>
      <t>Global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Responsabilidad por los macroprocesos de la gestión  global en </t>
    </r>
    <r>
      <rPr>
        <b/>
        <sz val="10"/>
        <color theme="1"/>
        <rFont val="Aptos Narrow"/>
        <family val="2"/>
        <scheme val="minor"/>
      </rPr>
      <t xml:space="preserve">TODOS </t>
    </r>
    <r>
      <rPr>
        <sz val="10"/>
        <color theme="1"/>
        <rFont val="Aptos Narrow"/>
        <family val="2"/>
        <scheme val="minor"/>
      </rPr>
      <t>los continentes</t>
    </r>
  </si>
  <si>
    <r>
      <t xml:space="preserve">Dirección Ejecutiva </t>
    </r>
    <r>
      <rPr>
        <b/>
        <sz val="12"/>
        <color rgb="FFFF0000"/>
        <rFont val="Aptos Narrow"/>
        <family val="2"/>
        <scheme val="minor"/>
      </rPr>
      <t>Departamentos/estados</t>
    </r>
    <r>
      <rPr>
        <b/>
        <sz val="12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Supervisión de Programas y proyectos y presupuestos. </t>
    </r>
    <r>
      <rPr>
        <b/>
        <sz val="10"/>
        <color theme="1"/>
        <rFont val="Aptos Narrow"/>
        <family val="2"/>
        <scheme val="minor"/>
      </rPr>
      <t>Responsabilidad por resultados</t>
    </r>
    <r>
      <rPr>
        <sz val="10"/>
        <color theme="1"/>
        <rFont val="Aptos Narrow"/>
        <family val="2"/>
        <scheme val="minor"/>
      </rPr>
      <t xml:space="preserve"> en </t>
    </r>
    <r>
      <rPr>
        <b/>
        <sz val="10"/>
        <color theme="1"/>
        <rFont val="Aptos Narrow"/>
        <family val="2"/>
        <scheme val="minor"/>
      </rPr>
      <t>TODOS</t>
    </r>
    <r>
      <rPr>
        <sz val="10"/>
        <color theme="1"/>
        <rFont val="Aptos Narrow"/>
        <family val="2"/>
        <scheme val="minor"/>
      </rPr>
      <t xml:space="preserve"> los programas y proyectos implementados en los municipios que conforman </t>
    </r>
    <r>
      <rPr>
        <b/>
        <sz val="10"/>
        <color theme="1"/>
        <rFont val="Aptos Narrow"/>
        <family val="2"/>
        <scheme val="minor"/>
      </rPr>
      <t>UN</t>
    </r>
    <r>
      <rPr>
        <sz val="10"/>
        <color theme="1"/>
        <rFont val="Aptos Narrow"/>
        <family val="2"/>
        <scheme val="minor"/>
      </rPr>
      <t xml:space="preserve"> departamentos/estados específico</t>
    </r>
  </si>
  <si>
    <r>
      <t xml:space="preserve">Equipo de profesionale vinculados a la gestión </t>
    </r>
    <r>
      <rPr>
        <b/>
        <sz val="12"/>
        <color rgb="FFFF0000"/>
        <rFont val="Aptos Narrow"/>
        <family val="2"/>
        <scheme val="minor"/>
      </rPr>
      <t>Continental</t>
    </r>
    <r>
      <rPr>
        <b/>
        <sz val="12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>Responsabilidad por los macroprocesos de UN área especifica en UNA macroregión determinada</t>
    </r>
  </si>
  <si>
    <r>
      <rPr>
        <b/>
        <sz val="12"/>
        <color theme="1"/>
        <rFont val="Aptos Narrow"/>
        <family val="2"/>
        <scheme val="minor"/>
      </rPr>
      <t xml:space="preserve">Dirección de Operaciones </t>
    </r>
    <r>
      <rPr>
        <b/>
        <sz val="12"/>
        <color rgb="FFFF0000"/>
        <rFont val="Aptos Narrow"/>
        <family val="2"/>
        <scheme val="minor"/>
      </rPr>
      <t>Municipales</t>
    </r>
    <r>
      <rPr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(Identificación de necesidades y recursos locales, construcción de proyectos, supervisión directa de planes de acción  -  metas e indicadores). </t>
    </r>
    <r>
      <rPr>
        <b/>
        <sz val="10"/>
        <color theme="1"/>
        <rFont val="Aptos Narrow"/>
        <family val="2"/>
        <scheme val="minor"/>
      </rPr>
      <t>Responsabilidad por Programas y Proyectos en UN</t>
    </r>
    <r>
      <rPr>
        <sz val="10"/>
        <color theme="1"/>
        <rFont val="Aptos Narrow"/>
        <family val="2"/>
        <scheme val="minor"/>
      </rPr>
      <t xml:space="preserve"> municipio específico</t>
    </r>
  </si>
  <si>
    <r>
      <t xml:space="preserve">Equipo de profesionales </t>
    </r>
    <r>
      <rPr>
        <b/>
        <sz val="11"/>
        <color rgb="FFFF0000"/>
        <rFont val="Aptos Narrow"/>
        <family val="2"/>
        <scheme val="minor"/>
      </rPr>
      <t>Gestion nacional</t>
    </r>
    <r>
      <rPr>
        <b/>
        <sz val="11"/>
        <color theme="1"/>
        <rFont val="Aptos Narrow"/>
        <family val="2"/>
        <scheme val="minor"/>
      </rPr>
      <t xml:space="preserve">. </t>
    </r>
    <r>
      <rPr>
        <sz val="10"/>
        <color theme="1"/>
        <rFont val="Aptos Narrow"/>
        <family val="2"/>
        <scheme val="minor"/>
      </rPr>
      <t>Responsabilidad por los macroprocesos de la gestión  global en TODOS los continentes</t>
    </r>
  </si>
  <si>
    <r>
      <t xml:space="preserve">Equipo de profesionales </t>
    </r>
    <r>
      <rPr>
        <b/>
        <sz val="11"/>
        <color rgb="FFFF0000"/>
        <rFont val="Aptos Narrow"/>
        <family val="2"/>
        <scheme val="minor"/>
      </rPr>
      <t>Gestion regional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Responsabilidad por las operaciones de la gestión  global en cada región</t>
    </r>
  </si>
  <si>
    <r>
      <t xml:space="preserve">Equipo de profesionales </t>
    </r>
    <r>
      <rPr>
        <b/>
        <sz val="11"/>
        <color rgb="FFFF0000"/>
        <rFont val="Aptos Narrow"/>
        <family val="2"/>
        <scheme val="minor"/>
      </rPr>
      <t>Gestion Departamental/estadual</t>
    </r>
    <r>
      <rPr>
        <b/>
        <sz val="11"/>
        <color theme="1"/>
        <rFont val="Aptos Narrow"/>
        <family val="2"/>
        <scheme val="minor"/>
      </rPr>
      <t xml:space="preserve">. </t>
    </r>
    <r>
      <rPr>
        <sz val="10"/>
        <color theme="1"/>
        <rFont val="Aptos Narrow"/>
        <family val="2"/>
        <scheme val="minor"/>
      </rPr>
      <t>Responsabilidad por las operaciones de cada departamento</t>
    </r>
  </si>
  <si>
    <r>
      <t xml:space="preserve">Equipo de profesionales </t>
    </r>
    <r>
      <rPr>
        <b/>
        <sz val="11"/>
        <color rgb="FFFF0000"/>
        <rFont val="Aptos Narrow"/>
        <family val="2"/>
        <scheme val="minor"/>
      </rPr>
      <t>Gestion Municipal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Responsabilidad por las operaciones de cada municipio</t>
    </r>
  </si>
  <si>
    <r>
      <t xml:space="preserve">Equipo  técnico y asistencial vinculado a la </t>
    </r>
    <r>
      <rPr>
        <b/>
        <sz val="11"/>
        <color rgb="FFFF0000"/>
        <rFont val="Aptos Narrow"/>
        <family val="2"/>
        <scheme val="minor"/>
      </rPr>
      <t>Gestión  Global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(todos los programas, proyecto y áreas en todos los continentes)</t>
    </r>
  </si>
  <si>
    <r>
      <t xml:space="preserve">Gestión Asistencial y técnica </t>
    </r>
    <r>
      <rPr>
        <b/>
        <sz val="12"/>
        <color rgb="FFFF0000"/>
        <rFont val="Aptos Narrow"/>
        <family val="2"/>
        <scheme val="minor"/>
      </rPr>
      <t>Continental</t>
    </r>
    <r>
      <rPr>
        <b/>
        <sz val="12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(UNO o varios programas en UNA macroregión)</t>
    </r>
  </si>
  <si>
    <r>
      <t xml:space="preserve">Gestión Asistencia y técnica </t>
    </r>
    <r>
      <rPr>
        <b/>
        <sz val="12"/>
        <color rgb="FFFF0000"/>
        <rFont val="Aptos Narrow"/>
        <family val="2"/>
        <scheme val="minor"/>
      </rPr>
      <t>Nacional</t>
    </r>
    <r>
      <rPr>
        <b/>
        <sz val="12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>(Gestión de todos los Programas, Proyectos y äreas en UN país)</t>
    </r>
  </si>
  <si>
    <r>
      <t xml:space="preserve">Gestión Asistencial y técnica  </t>
    </r>
    <r>
      <rPr>
        <b/>
        <sz val="12"/>
        <color rgb="FFFF0000"/>
        <rFont val="Aptos Narrow"/>
        <family val="2"/>
        <scheme val="minor"/>
      </rPr>
      <t>Regional</t>
    </r>
    <r>
      <rPr>
        <sz val="10"/>
        <color theme="1"/>
        <rFont val="Aptos Narrow"/>
        <family val="2"/>
        <scheme val="minor"/>
      </rPr>
      <t xml:space="preserve"> (Gestión integral en varios departamentos de UNA región)</t>
    </r>
  </si>
  <si>
    <r>
      <t xml:space="preserve">Gestión de Operaciones </t>
    </r>
    <r>
      <rPr>
        <b/>
        <sz val="12"/>
        <color rgb="FFFF0000"/>
        <rFont val="Aptos Narrow"/>
        <family val="2"/>
        <scheme val="minor"/>
      </rPr>
      <t>Departamentos/estadodos</t>
    </r>
    <r>
      <rPr>
        <b/>
        <sz val="12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(gestión integral en varios municipios de UN departamento)</t>
    </r>
  </si>
  <si>
    <r>
      <t xml:space="preserve">Gestión de Operaciones </t>
    </r>
    <r>
      <rPr>
        <b/>
        <sz val="12"/>
        <color rgb="FFFF0000"/>
        <rFont val="Aptos Narrow"/>
        <family val="2"/>
        <scheme val="minor"/>
      </rPr>
      <t>Municipios</t>
    </r>
    <r>
      <rPr>
        <b/>
        <sz val="12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(gestion integral en UN municipio que puede incluir corregimientos y sus veredas)</t>
    </r>
  </si>
  <si>
    <r>
      <rPr>
        <b/>
        <sz val="11"/>
        <rFont val="Arial"/>
        <family val="2"/>
      </rPr>
      <t>ROL O ASIGNACION</t>
    </r>
    <r>
      <rPr>
        <b/>
        <sz val="10"/>
        <rFont val="Arial"/>
        <family val="2"/>
      </rPr>
      <t xml:space="preserve">
</t>
    </r>
    <r>
      <rPr>
        <i/>
        <sz val="10"/>
        <rFont val="Arial"/>
        <family val="2"/>
      </rPr>
      <t>(Impacto de la gestión en los resultados globales de la Fundación)</t>
    </r>
  </si>
  <si>
    <t>Presidente-Representante Legal</t>
  </si>
  <si>
    <r>
      <rPr>
        <b/>
        <sz val="10"/>
        <color theme="1"/>
        <rFont val="Aptos Narrow"/>
        <family val="2"/>
        <scheme val="minor"/>
      </rPr>
      <t>Miembros Junta Directiva</t>
    </r>
    <r>
      <rPr>
        <sz val="10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ptos Narrow"/>
        <family val="2"/>
        <scheme val="minor"/>
      </rPr>
      <t xml:space="preserve"> Comité de cumplimiento</t>
    </r>
    <r>
      <rPr>
        <sz val="10"/>
        <color theme="1"/>
        <rFont val="Aptos Narrow"/>
        <family val="2"/>
        <scheme val="minor"/>
      </rPr>
      <t>, Ética y Riesgos</t>
    </r>
  </si>
  <si>
    <r>
      <rPr>
        <b/>
        <sz val="10"/>
        <color theme="1"/>
        <rFont val="Aptos Narrow"/>
        <family val="2"/>
        <scheme val="minor"/>
      </rPr>
      <t>Directores Gestión</t>
    </r>
    <r>
      <rPr>
        <sz val="10"/>
        <color theme="1"/>
        <rFont val="Aptos Narrow"/>
        <family val="2"/>
        <scheme val="minor"/>
      </rPr>
      <t xml:space="preserve"> Financiera, Director Jurídico, Directora Gestión Administrativa y de Logísitica, Cancilleres, Director Proyectos Especiales</t>
    </r>
  </si>
  <si>
    <r>
      <rPr>
        <b/>
        <sz val="10"/>
        <color theme="1"/>
        <rFont val="Aptos Narrow"/>
        <family val="2"/>
        <scheme val="minor"/>
      </rPr>
      <t>Subdirectores Gestión</t>
    </r>
    <r>
      <rPr>
        <sz val="10"/>
        <color theme="1"/>
        <rFont val="Aptos Narrow"/>
        <family val="2"/>
        <scheme val="minor"/>
      </rPr>
      <t xml:space="preserve"> Financiera Internacional, Jurídica, Directora Gestión Administrativa y de Logísitica, Cancilleres, Director Proyectos Especiales; Proyectos Especiales</t>
    </r>
  </si>
  <si>
    <r>
      <rPr>
        <b/>
        <sz val="10"/>
        <color theme="1"/>
        <rFont val="Aptos Narrow"/>
        <family val="2"/>
        <scheme val="minor"/>
      </rPr>
      <t xml:space="preserve">Directores Programas </t>
    </r>
    <r>
      <rPr>
        <sz val="10"/>
        <color theme="1"/>
        <rFont val="Aptos Narrow"/>
        <family val="2"/>
        <scheme val="minor"/>
      </rPr>
      <t>Salvación Mundial y Misión de Paz y Psicosocial, Areas de Infraestructura, Comunicaciones y Relaciones Corporativas, Proyectos y otras</t>
    </r>
  </si>
  <si>
    <r>
      <rPr>
        <b/>
        <sz val="10"/>
        <color theme="1"/>
        <rFont val="Aptos Narrow"/>
        <family val="2"/>
        <scheme val="minor"/>
      </rPr>
      <t>Sudirectores de Programas y Áreas</t>
    </r>
    <r>
      <rPr>
        <sz val="10"/>
        <color theme="1"/>
        <rFont val="Aptos Narrow"/>
        <family val="2"/>
        <scheme val="minor"/>
      </rPr>
      <t>: Programas Salvación Mundial y Misión de Paz y Psicosocial, Areas de Infraestructura, Comunicaciones y Relaciones Corporativas, Proyectos y otras</t>
    </r>
  </si>
  <si>
    <r>
      <rPr>
        <b/>
        <sz val="10"/>
        <color theme="1"/>
        <rFont val="Aptos Narrow"/>
        <family val="2"/>
        <scheme val="minor"/>
      </rPr>
      <t xml:space="preserve">Directores </t>
    </r>
    <r>
      <rPr>
        <sz val="10"/>
        <color theme="1"/>
        <rFont val="Aptos Narrow"/>
        <family val="2"/>
        <scheme val="minor"/>
      </rPr>
      <t>Programas y Áreas: Salvación Mundial y Misión de Paz y Psicosocial, Areas de Infraestructura, Comunicaciones y Relaciones Corporativas, Proyectos y otras</t>
    </r>
  </si>
  <si>
    <r>
      <rPr>
        <b/>
        <sz val="10"/>
        <color theme="1"/>
        <rFont val="Aptos Narrow"/>
        <family val="2"/>
        <scheme val="minor"/>
      </rPr>
      <t>Subdirectores Programas y Áreas S</t>
    </r>
    <r>
      <rPr>
        <sz val="10"/>
        <color theme="1"/>
        <rFont val="Aptos Narrow"/>
        <family val="2"/>
        <scheme val="minor"/>
      </rPr>
      <t>alvación Mundial y Misión de Paz y Psicosocial, Areas de Infraestructura, Comunicaciones y Relaciones Corporativas, Proyectos y otras</t>
    </r>
  </si>
  <si>
    <r>
      <t xml:space="preserve">Directores de país. </t>
    </r>
    <r>
      <rPr>
        <sz val="10"/>
        <color theme="1"/>
        <rFont val="Aptos Narrow"/>
        <family val="2"/>
        <scheme val="minor"/>
      </rPr>
      <t>Gestión integral del país</t>
    </r>
  </si>
  <si>
    <r>
      <rPr>
        <b/>
        <sz val="10"/>
        <color theme="1"/>
        <rFont val="Aptos Narrow"/>
        <family val="2"/>
        <scheme val="minor"/>
      </rPr>
      <t>Subdirectores</t>
    </r>
    <r>
      <rPr>
        <sz val="10"/>
        <color theme="1"/>
        <rFont val="Aptos Narrow"/>
        <family val="2"/>
        <scheme val="minor"/>
      </rPr>
      <t xml:space="preserve"> </t>
    </r>
    <r>
      <rPr>
        <b/>
        <sz val="10"/>
        <color theme="1"/>
        <rFont val="Aptos Narrow"/>
        <family val="2"/>
        <scheme val="minor"/>
      </rPr>
      <t>de país</t>
    </r>
    <r>
      <rPr>
        <sz val="10"/>
        <color theme="1"/>
        <rFont val="Aptos Narrow"/>
        <family val="2"/>
        <scheme val="minor"/>
      </rPr>
      <t xml:space="preserve"> (donde aplique). Seguimiento a la Operación Nacional</t>
    </r>
  </si>
  <si>
    <r>
      <rPr>
        <b/>
        <sz val="10"/>
        <color theme="1"/>
        <rFont val="Aptos Narrow"/>
        <family val="2"/>
        <scheme val="minor"/>
      </rPr>
      <t>Directores nacionales</t>
    </r>
    <r>
      <rPr>
        <sz val="10"/>
        <color theme="1"/>
        <rFont val="Aptos Narrow"/>
        <family val="2"/>
        <scheme val="minor"/>
      </rPr>
      <t xml:space="preserve"> de áreas funcionales, Embajadores nacionales, Directores de Programas nacionales, directores espirituales, capeyanes, Director Proyecto ARCA</t>
    </r>
  </si>
  <si>
    <r>
      <rPr>
        <b/>
        <sz val="10"/>
        <color theme="1"/>
        <rFont val="Aptos Narrow"/>
        <family val="2"/>
        <scheme val="minor"/>
      </rPr>
      <t>Subdirectores</t>
    </r>
    <r>
      <rPr>
        <sz val="10"/>
        <color theme="1"/>
        <rFont val="Aptos Narrow"/>
        <family val="2"/>
        <scheme val="minor"/>
      </rPr>
      <t xml:space="preserve"> de áreas y programas nacionales, Proyecto ARCA</t>
    </r>
  </si>
  <si>
    <r>
      <rPr>
        <b/>
        <sz val="10"/>
        <color theme="1"/>
        <rFont val="Aptos Narrow"/>
        <family val="2"/>
        <scheme val="minor"/>
      </rPr>
      <t>Directores:</t>
    </r>
    <r>
      <rPr>
        <sz val="10"/>
        <color theme="1"/>
        <rFont val="Aptos Narrow"/>
        <family val="2"/>
        <scheme val="minor"/>
      </rPr>
      <t xml:space="preserve"> Gestión integral de los departamentos/estados agrupados </t>
    </r>
  </si>
  <si>
    <r>
      <rPr>
        <b/>
        <sz val="10"/>
        <color theme="1"/>
        <rFont val="Aptos Narrow"/>
        <family val="2"/>
        <scheme val="minor"/>
      </rPr>
      <t xml:space="preserve">Subdirectores </t>
    </r>
    <r>
      <rPr>
        <sz val="10"/>
        <color theme="1"/>
        <rFont val="Aptos Narrow"/>
        <family val="2"/>
        <scheme val="minor"/>
      </rPr>
      <t>Regionales. Seguimiento a la operación regional</t>
    </r>
  </si>
  <si>
    <r>
      <rPr>
        <b/>
        <sz val="10"/>
        <color theme="1"/>
        <rFont val="Aptos Narrow"/>
        <family val="2"/>
        <scheme val="minor"/>
      </rPr>
      <t>Directores de Programas y áreas. Seguimiento a las operaciones</t>
    </r>
    <r>
      <rPr>
        <sz val="10"/>
        <color theme="1"/>
        <rFont val="Aptos Narrow"/>
        <family val="2"/>
        <scheme val="minor"/>
      </rPr>
      <t xml:space="preserve"> (Proyectos, salud, educación, infraestructura, Talento Humano, comunicaciones, Psicosocial, directores espirituales, capeyanes, etc… )</t>
    </r>
  </si>
  <si>
    <r>
      <rPr>
        <b/>
        <sz val="10"/>
        <color theme="1"/>
        <rFont val="Aptos Narrow"/>
        <family val="2"/>
        <scheme val="minor"/>
      </rPr>
      <t>Equipo de Profesionales</t>
    </r>
    <r>
      <rPr>
        <sz val="10"/>
        <color theme="1"/>
        <rFont val="Aptos Narrow"/>
        <family val="2"/>
        <scheme val="minor"/>
      </rPr>
      <t xml:space="preserve"> con tareas en Presidencia, Junta Directiva, Gestión Financiera, Jurídica, Administrativa, Pogramas Salvación, Misión de Paz, Infraestructura, Psicosocial, </t>
    </r>
  </si>
  <si>
    <r>
      <rPr>
        <b/>
        <sz val="10"/>
        <color theme="1"/>
        <rFont val="Aptos Narrow"/>
        <family val="2"/>
        <scheme val="minor"/>
      </rPr>
      <t>Directores de Departamentos</t>
    </r>
    <r>
      <rPr>
        <sz val="10"/>
        <color theme="1"/>
        <rFont val="Aptos Narrow"/>
        <family val="2"/>
        <scheme val="minor"/>
      </rPr>
      <t>/estados/provincias, gestión de operaciones en el grupo de municipios del departamento</t>
    </r>
  </si>
  <si>
    <r>
      <t>Sudirectores de departamento.</t>
    </r>
    <r>
      <rPr>
        <sz val="10"/>
        <color theme="1"/>
        <rFont val="Aptos Narrow"/>
        <family val="2"/>
        <scheme val="minor"/>
      </rPr>
      <t xml:space="preserve"> Seguimiento a la operación de los municipios del departamento</t>
    </r>
  </si>
  <si>
    <r>
      <rPr>
        <b/>
        <sz val="10"/>
        <color theme="1"/>
        <rFont val="Aptos Narrow"/>
        <family val="2"/>
        <scheme val="minor"/>
      </rPr>
      <t xml:space="preserve">Directores de Programas y Áreas </t>
    </r>
    <r>
      <rPr>
        <sz val="10"/>
        <color theme="1"/>
        <rFont val="Aptos Narrow"/>
        <family val="2"/>
        <scheme val="minor"/>
      </rPr>
      <t>Seguimiento a las operaciones (Proyectos, salud, educación, infraestructura, Talento Humano, comunicaciones, Psicosocial, directores espirituales, capeyanes, etc… )</t>
    </r>
  </si>
  <si>
    <r>
      <rPr>
        <b/>
        <sz val="10"/>
        <color theme="1"/>
        <rFont val="Aptos Narrow"/>
        <family val="2"/>
        <scheme val="minor"/>
      </rPr>
      <t xml:space="preserve">Profesionales </t>
    </r>
    <r>
      <rPr>
        <sz val="10"/>
        <color theme="1"/>
        <rFont val="Aptos Narrow"/>
        <family val="2"/>
        <scheme val="minor"/>
      </rPr>
      <t>Seguimiento a los macroprocesos de los países incluidos en la macroregión (América, Europa…)</t>
    </r>
  </si>
  <si>
    <r>
      <rPr>
        <b/>
        <sz val="10"/>
        <color theme="1"/>
        <rFont val="Aptos Narrow"/>
        <family val="2"/>
        <scheme val="minor"/>
      </rPr>
      <t>Directores Municipales</t>
    </r>
    <r>
      <rPr>
        <sz val="10"/>
        <color theme="1"/>
        <rFont val="Aptos Narrow"/>
        <family val="2"/>
        <scheme val="minor"/>
      </rPr>
      <t xml:space="preserve">, Responsables de los resultados de programas y proyectos en el municipio asignado. </t>
    </r>
  </si>
  <si>
    <r>
      <rPr>
        <b/>
        <sz val="10"/>
        <color theme="1"/>
        <rFont val="Aptos Narrow"/>
        <family val="2"/>
        <scheme val="minor"/>
      </rPr>
      <t>Subdirectores Municipales</t>
    </r>
    <r>
      <rPr>
        <sz val="10"/>
        <color theme="1"/>
        <rFont val="Aptos Narrow"/>
        <family val="2"/>
        <scheme val="minor"/>
      </rPr>
      <t xml:space="preserve">, </t>
    </r>
  </si>
  <si>
    <r>
      <rPr>
        <b/>
        <sz val="10"/>
        <color theme="1"/>
        <rFont val="Aptos Narrow"/>
        <family val="2"/>
        <scheme val="minor"/>
      </rPr>
      <t xml:space="preserve">Directores de Programas y Proyectos en el municipio </t>
    </r>
    <r>
      <rPr>
        <sz val="10"/>
        <color theme="1"/>
        <rFont val="Aptos Narrow"/>
        <family val="2"/>
        <scheme val="minor"/>
      </rPr>
      <t>Seguimiento a las operaciones (Proyectos, salud, educación, infraestructura, Talento Humano, comunicaciones, Psicosocial, directores espirituales, capeyanes, etc… )</t>
    </r>
  </si>
  <si>
    <r>
      <t xml:space="preserve">Equipos de </t>
    </r>
    <r>
      <rPr>
        <b/>
        <sz val="10"/>
        <color theme="1"/>
        <rFont val="Aptos Narrow"/>
        <family val="2"/>
        <scheme val="minor"/>
      </rPr>
      <t>profesionales de operaciones nacionales</t>
    </r>
    <r>
      <rPr>
        <sz val="10"/>
        <color theme="1"/>
        <rFont val="Aptos Narrow"/>
        <family val="2"/>
        <scheme val="minor"/>
      </rPr>
      <t xml:space="preserve"> de Programas y Äreas, Proyecto ARCA</t>
    </r>
  </si>
  <si>
    <r>
      <t xml:space="preserve">Equipos de </t>
    </r>
    <r>
      <rPr>
        <b/>
        <sz val="10"/>
        <color theme="1"/>
        <rFont val="Aptos Narrow"/>
        <family val="2"/>
        <scheme val="minor"/>
      </rPr>
      <t>profesionales de operaciones regionales en cada país</t>
    </r>
  </si>
  <si>
    <r>
      <t xml:space="preserve">Equipos de </t>
    </r>
    <r>
      <rPr>
        <b/>
        <sz val="10"/>
        <color theme="1"/>
        <rFont val="Aptos Narrow"/>
        <family val="2"/>
        <scheme val="minor"/>
      </rPr>
      <t>profesionales gestión en los departamentos</t>
    </r>
  </si>
  <si>
    <r>
      <t xml:space="preserve">Equipos de </t>
    </r>
    <r>
      <rPr>
        <b/>
        <sz val="10"/>
        <color theme="1"/>
        <rFont val="Aptos Narrow"/>
        <family val="2"/>
        <scheme val="minor"/>
      </rPr>
      <t xml:space="preserve">profesionales de operaciones en los muicipios </t>
    </r>
    <r>
      <rPr>
        <sz val="10"/>
        <color theme="1"/>
        <rFont val="Aptos Narrow"/>
        <family val="2"/>
        <scheme val="minor"/>
      </rPr>
      <t>(Psicólogos, promotores, médicos, maestros, evangelistas, consejeros, capeyanes)</t>
    </r>
  </si>
  <si>
    <r>
      <rPr>
        <b/>
        <sz val="10"/>
        <color theme="1"/>
        <rFont val="Aptos Narrow"/>
        <family val="2"/>
        <scheme val="minor"/>
      </rPr>
      <t xml:space="preserve">Secretarias </t>
    </r>
    <r>
      <rPr>
        <sz val="10"/>
        <color theme="1"/>
        <rFont val="Aptos Narrow"/>
        <family val="2"/>
        <scheme val="minor"/>
      </rPr>
      <t>y personal administrativo</t>
    </r>
    <r>
      <rPr>
        <b/>
        <sz val="10"/>
        <color theme="1"/>
        <rFont val="Aptos Narrow"/>
        <family val="2"/>
        <scheme val="minor"/>
      </rPr>
      <t xml:space="preserve"> gestion Global</t>
    </r>
  </si>
  <si>
    <r>
      <rPr>
        <b/>
        <sz val="10"/>
        <color theme="1"/>
        <rFont val="Aptos Narrow"/>
        <family val="2"/>
        <scheme val="minor"/>
      </rPr>
      <t>Personal Técnico</t>
    </r>
    <r>
      <rPr>
        <sz val="10"/>
        <color theme="1"/>
        <rFont val="Aptos Narrow"/>
        <family val="2"/>
        <scheme val="minor"/>
      </rPr>
      <t xml:space="preserve"> / Operativo en </t>
    </r>
    <r>
      <rPr>
        <b/>
        <sz val="10"/>
        <color theme="1"/>
        <rFont val="Aptos Narrow"/>
        <family val="2"/>
        <scheme val="minor"/>
      </rPr>
      <t>gestión global</t>
    </r>
  </si>
  <si>
    <r>
      <rPr>
        <b/>
        <sz val="10"/>
        <color theme="1"/>
        <rFont val="Aptos Narrow"/>
        <family val="2"/>
        <scheme val="minor"/>
      </rPr>
      <t>Secretarias y personal</t>
    </r>
    <r>
      <rPr>
        <sz val="10"/>
        <color theme="1"/>
        <rFont val="Aptos Narrow"/>
        <family val="2"/>
        <scheme val="minor"/>
      </rPr>
      <t xml:space="preserve"> administrativo </t>
    </r>
    <r>
      <rPr>
        <b/>
        <sz val="10"/>
        <color theme="1"/>
        <rFont val="Aptos Narrow"/>
        <family val="2"/>
        <scheme val="minor"/>
      </rPr>
      <t>macroregiones Continentes</t>
    </r>
  </si>
  <si>
    <r>
      <rPr>
        <b/>
        <sz val="10"/>
        <color theme="1"/>
        <rFont val="Aptos Narrow"/>
        <family val="2"/>
        <scheme val="minor"/>
      </rPr>
      <t>Personal Técnico</t>
    </r>
    <r>
      <rPr>
        <sz val="10"/>
        <color theme="1"/>
        <rFont val="Aptos Narrow"/>
        <family val="2"/>
        <scheme val="minor"/>
      </rPr>
      <t xml:space="preserve"> / Operativo macroregiones - </t>
    </r>
    <r>
      <rPr>
        <b/>
        <sz val="10"/>
        <color theme="1"/>
        <rFont val="Aptos Narrow"/>
        <family val="2"/>
        <scheme val="minor"/>
      </rPr>
      <t>continental</t>
    </r>
    <r>
      <rPr>
        <sz val="10"/>
        <color theme="1"/>
        <rFont val="Aptos Narrow"/>
        <family val="2"/>
        <scheme val="minor"/>
      </rPr>
      <t xml:space="preserve"> (macroregiones)</t>
    </r>
  </si>
  <si>
    <r>
      <rPr>
        <b/>
        <sz val="10"/>
        <color theme="1"/>
        <rFont val="Aptos Narrow"/>
        <family val="2"/>
        <scheme val="minor"/>
      </rPr>
      <t>Secretarias y personal</t>
    </r>
    <r>
      <rPr>
        <sz val="10"/>
        <color theme="1"/>
        <rFont val="Aptos Narrow"/>
        <family val="2"/>
        <scheme val="minor"/>
      </rPr>
      <t xml:space="preserve"> administrativo N</t>
    </r>
    <r>
      <rPr>
        <b/>
        <sz val="10"/>
        <color theme="1"/>
        <rFont val="Aptos Narrow"/>
        <family val="2"/>
        <scheme val="minor"/>
      </rPr>
      <t>acional</t>
    </r>
  </si>
  <si>
    <r>
      <rPr>
        <b/>
        <sz val="10"/>
        <color theme="1"/>
        <rFont val="Aptos Narrow"/>
        <family val="2"/>
        <scheme val="minor"/>
      </rPr>
      <t>Personal Técnico</t>
    </r>
    <r>
      <rPr>
        <sz val="10"/>
        <color theme="1"/>
        <rFont val="Aptos Narrow"/>
        <family val="2"/>
        <scheme val="minor"/>
      </rPr>
      <t xml:space="preserve"> / Operativo en </t>
    </r>
    <r>
      <rPr>
        <b/>
        <sz val="10"/>
        <color theme="1"/>
        <rFont val="Aptos Narrow"/>
        <family val="2"/>
        <scheme val="minor"/>
      </rPr>
      <t>gestión Nacional</t>
    </r>
  </si>
  <si>
    <r>
      <rPr>
        <b/>
        <sz val="10"/>
        <color theme="1"/>
        <rFont val="Aptos Narrow"/>
        <family val="2"/>
        <scheme val="minor"/>
      </rPr>
      <t>Secretarias y personal</t>
    </r>
    <r>
      <rPr>
        <sz val="10"/>
        <color theme="1"/>
        <rFont val="Aptos Narrow"/>
        <family val="2"/>
        <scheme val="minor"/>
      </rPr>
      <t xml:space="preserve"> administrativo </t>
    </r>
    <r>
      <rPr>
        <b/>
        <sz val="10"/>
        <color theme="1"/>
        <rFont val="Aptos Narrow"/>
        <family val="2"/>
        <scheme val="minor"/>
      </rPr>
      <t>regional</t>
    </r>
  </si>
  <si>
    <r>
      <rPr>
        <b/>
        <sz val="10"/>
        <color theme="1"/>
        <rFont val="Aptos Narrow"/>
        <family val="2"/>
        <scheme val="minor"/>
      </rPr>
      <t>Personal Técnico</t>
    </r>
    <r>
      <rPr>
        <sz val="10"/>
        <color theme="1"/>
        <rFont val="Aptos Narrow"/>
        <family val="2"/>
        <scheme val="minor"/>
      </rPr>
      <t xml:space="preserve"> / Operativo en </t>
    </r>
    <r>
      <rPr>
        <b/>
        <sz val="10"/>
        <color theme="1"/>
        <rFont val="Aptos Narrow"/>
        <family val="2"/>
        <scheme val="minor"/>
      </rPr>
      <t>regiones país</t>
    </r>
  </si>
  <si>
    <r>
      <rPr>
        <b/>
        <sz val="10"/>
        <color theme="1"/>
        <rFont val="Aptos Narrow"/>
        <family val="2"/>
        <scheme val="minor"/>
      </rPr>
      <t>Secretarias y personal</t>
    </r>
    <r>
      <rPr>
        <sz val="10"/>
        <color theme="1"/>
        <rFont val="Aptos Narrow"/>
        <family val="2"/>
        <scheme val="minor"/>
      </rPr>
      <t xml:space="preserve"> administrativo </t>
    </r>
    <r>
      <rPr>
        <b/>
        <sz val="10"/>
        <color theme="1"/>
        <rFont val="Aptos Narrow"/>
        <family val="2"/>
        <scheme val="minor"/>
      </rPr>
      <t>departamentos</t>
    </r>
  </si>
  <si>
    <r>
      <rPr>
        <b/>
        <sz val="10"/>
        <color theme="1"/>
        <rFont val="Aptos Narrow"/>
        <family val="2"/>
        <scheme val="minor"/>
      </rPr>
      <t>Personal Técnico</t>
    </r>
    <r>
      <rPr>
        <sz val="10"/>
        <color theme="1"/>
        <rFont val="Aptos Narrow"/>
        <family val="2"/>
        <scheme val="minor"/>
      </rPr>
      <t xml:space="preserve"> / Operativo en </t>
    </r>
    <r>
      <rPr>
        <b/>
        <sz val="10"/>
        <color theme="1"/>
        <rFont val="Aptos Narrow"/>
        <family val="2"/>
        <scheme val="minor"/>
      </rPr>
      <t>gestión departamentos</t>
    </r>
  </si>
  <si>
    <r>
      <rPr>
        <b/>
        <sz val="10"/>
        <color theme="1"/>
        <rFont val="Aptos Narrow"/>
        <family val="2"/>
        <scheme val="minor"/>
      </rPr>
      <t>Secretarias y personal</t>
    </r>
    <r>
      <rPr>
        <sz val="10"/>
        <color theme="1"/>
        <rFont val="Aptos Narrow"/>
        <family val="2"/>
        <scheme val="minor"/>
      </rPr>
      <t xml:space="preserve"> administrativo </t>
    </r>
    <r>
      <rPr>
        <b/>
        <sz val="10"/>
        <color theme="1"/>
        <rFont val="Aptos Narrow"/>
        <family val="2"/>
        <scheme val="minor"/>
      </rPr>
      <t>municipios</t>
    </r>
  </si>
  <si>
    <r>
      <rPr>
        <b/>
        <sz val="10"/>
        <color theme="1"/>
        <rFont val="Aptos Narrow"/>
        <family val="2"/>
        <scheme val="minor"/>
      </rPr>
      <t>Personal Técnico</t>
    </r>
    <r>
      <rPr>
        <sz val="10"/>
        <color theme="1"/>
        <rFont val="Aptos Narrow"/>
        <family val="2"/>
        <scheme val="minor"/>
      </rPr>
      <t xml:space="preserve"> / Operativo en </t>
    </r>
    <r>
      <rPr>
        <b/>
        <sz val="10"/>
        <color theme="1"/>
        <rFont val="Aptos Narrow"/>
        <family val="2"/>
        <scheme val="minor"/>
      </rPr>
      <t>gestión municipios</t>
    </r>
  </si>
  <si>
    <r>
      <t>TIEMPO</t>
    </r>
    <r>
      <rPr>
        <b/>
        <i/>
        <u/>
        <sz val="8"/>
        <rFont val="Arial"/>
        <family val="2"/>
      </rPr>
      <t xml:space="preserve"> 
</t>
    </r>
    <r>
      <rPr>
        <i/>
        <u/>
        <sz val="8"/>
        <rFont val="Arial"/>
        <family val="2"/>
      </rPr>
      <t>Participación efectiva y continuada en las actividades de voluntariado)</t>
    </r>
  </si>
  <si>
    <t>10 años o más
Mas de 120 meses</t>
  </si>
  <si>
    <t>Entre  8 y  10 años</t>
  </si>
  <si>
    <t>Entre 96 y 120 meses</t>
  </si>
  <si>
    <t>Entre  7 y  8 años</t>
  </si>
  <si>
    <t>Entre 84 y 95 meses</t>
  </si>
  <si>
    <t>Entre  6 y  7 años</t>
  </si>
  <si>
    <t>Entre 72 y 83 meses</t>
  </si>
  <si>
    <t>Entre  5 y  6 años</t>
  </si>
  <si>
    <t>Entre 60 y 71 meses</t>
  </si>
  <si>
    <t>Entre  4 y  5 años</t>
  </si>
  <si>
    <t>Entre 48 y 59 meses</t>
  </si>
  <si>
    <t>Entre  3 y  4 años</t>
  </si>
  <si>
    <t>Entre 36 y 47 meses</t>
  </si>
  <si>
    <t>Entre  2 y  3 años</t>
  </si>
  <si>
    <t>Entre 24 y 35 meses</t>
  </si>
  <si>
    <t>Entre  1 y  2 años</t>
  </si>
  <si>
    <t>Entre 12 y 23 meses</t>
  </si>
  <si>
    <t>Entre  0 y  1 años</t>
  </si>
  <si>
    <t>Entre 1 y 11 meses</t>
  </si>
  <si>
    <t>BOGOTÁ</t>
  </si>
  <si>
    <t>NORTE_DE_SANTANDER</t>
  </si>
  <si>
    <t>VALLE_DEL_CAUCA</t>
  </si>
  <si>
    <t>LA_GUAJIRA</t>
  </si>
  <si>
    <t>TIPO DE IDENTIFICACION</t>
  </si>
  <si>
    <r>
      <rPr>
        <b/>
        <i/>
        <u/>
        <sz val="12"/>
        <color rgb="FFFF0000"/>
        <rFont val="Arial"/>
        <family val="2"/>
      </rPr>
      <t>COMPROMISO</t>
    </r>
    <r>
      <rPr>
        <b/>
        <i/>
        <u/>
        <sz val="11"/>
        <color rgb="FFFF0000"/>
        <rFont val="Arial"/>
        <family val="2"/>
      </rPr>
      <t xml:space="preserve"> 
</t>
    </r>
    <r>
      <rPr>
        <i/>
        <u/>
        <sz val="8"/>
        <color rgb="FFFF0000"/>
        <rFont val="Arial"/>
        <family val="2"/>
      </rPr>
      <t>(Disposición y disponibilidad para asumir responsabilidades y entregar resultados de manera oportuna y eficaz)</t>
    </r>
  </si>
  <si>
    <r>
      <rPr>
        <b/>
        <i/>
        <u/>
        <sz val="12"/>
        <color rgb="FFFF0000"/>
        <rFont val="Arial"/>
        <family val="2"/>
      </rPr>
      <t>PARTICIPACIÓN</t>
    </r>
    <r>
      <rPr>
        <b/>
        <i/>
        <u/>
        <sz val="11"/>
        <color rgb="FFFF0000"/>
        <rFont val="Arial"/>
        <family val="2"/>
      </rPr>
      <t xml:space="preserve">
</t>
    </r>
    <r>
      <rPr>
        <i/>
        <u/>
        <sz val="8"/>
        <color rgb="FFFF0000"/>
        <rFont val="Arial"/>
        <family val="2"/>
      </rPr>
      <t>(En el Altar de Oración 24/7, en actividades para la unidad espiritual, en capacitaciones, en gestión social, en planeación)</t>
    </r>
  </si>
  <si>
    <t>NUMERO DE DOCUMENTO DE IDENTIDAD</t>
  </si>
  <si>
    <t>CONTINENTE</t>
  </si>
  <si>
    <t>DEPARTAMENTO</t>
  </si>
  <si>
    <t>NOMBRE COMPLETO</t>
  </si>
  <si>
    <t>APELLIDOS</t>
  </si>
  <si>
    <r>
      <rPr>
        <b/>
        <sz val="16"/>
        <rFont val="Arial"/>
        <family val="2"/>
      </rPr>
      <t xml:space="preserve"> VALORACIÓN DE LA GESTIÓN DEL VOLUNTARIO</t>
    </r>
    <r>
      <rPr>
        <b/>
        <sz val="11"/>
        <rFont val="Arial"/>
        <family val="2"/>
      </rPr>
      <t xml:space="preserve">
</t>
    </r>
    <r>
      <rPr>
        <i/>
        <sz val="9"/>
        <rFont val="Arial"/>
        <family val="2"/>
      </rPr>
      <t>(Anote el valor que corresponda de acuerdo con la escala de valoración y la descripción de cada nivel a la derecha, columnas V,W,X,Y)</t>
    </r>
  </si>
  <si>
    <t>FECHA DE INICIO VOLUNTARIADO (día/mes/año)</t>
  </si>
  <si>
    <t>FECHA FINAL      (si aplica)
o fecha actual</t>
  </si>
  <si>
    <r>
      <t xml:space="preserve">TIEMPO TOTAL
</t>
    </r>
    <r>
      <rPr>
        <i/>
        <sz val="12"/>
        <color rgb="FFFF0000"/>
        <rFont val="Arial"/>
        <family val="2"/>
      </rPr>
      <t>(en meses)</t>
    </r>
  </si>
  <si>
    <t>REGIÓN</t>
  </si>
  <si>
    <t>MUNICIPIO</t>
  </si>
  <si>
    <t>TIPO DE DOCUMENTO DE IDENTIDAD</t>
  </si>
  <si>
    <t>DIRECCIÓN</t>
  </si>
  <si>
    <t>TELÉFONO FIJO/CELULAR</t>
  </si>
  <si>
    <t>CORREO ELECTRÓNICO</t>
  </si>
  <si>
    <t>ASIGNACIÓN ACTUAL
(Rol y lugar asignado)</t>
  </si>
  <si>
    <t>NOMBRE DEL LÍDER VOLUNTARIO</t>
  </si>
  <si>
    <t>ASIGNACIÓN DEL LÍDER VOLUNTARIO Y LUGAR ASIGNADO</t>
  </si>
  <si>
    <t>PASAPORTE (PP)</t>
  </si>
  <si>
    <t>CEDULA DE IDENTIDAD (CI)</t>
  </si>
  <si>
    <t>DOCUMENTO NACIONAL DE IDENTIDAD (DNI)</t>
  </si>
  <si>
    <t>REGISTRO GERAL (RG)</t>
  </si>
  <si>
    <t>CEDULA DE IDENTIDAD CIVIL (CIC)</t>
  </si>
  <si>
    <t>CARNÉ DE IDENTIDAD (CI)</t>
  </si>
  <si>
    <t>DOCUMENTO PERSONAL DE IDENTIDAD (DPI)</t>
  </si>
  <si>
    <t>CEDULA DE CIUDADANÍA (CC)</t>
  </si>
  <si>
    <t>DOCUMENTO ÚNICO DE IDENTIDAD (DUI)</t>
  </si>
  <si>
    <t>CEDULA DE IDENTIFICACIÓN PERSONAL (CIP)</t>
  </si>
  <si>
    <r>
      <t xml:space="preserve">En la columna "B" corresponde a: </t>
    </r>
    <r>
      <rPr>
        <b/>
        <u/>
        <sz val="11"/>
        <color theme="1"/>
        <rFont val="Arial"/>
        <family val="2"/>
      </rPr>
      <t>"PAÍS"</t>
    </r>
    <r>
      <rPr>
        <sz val="11"/>
        <color theme="1"/>
        <rFont val="Arial"/>
        <family val="2"/>
      </rPr>
      <t>, en esta celda deberá coloca el nombre del país donde se encuentra ubicado el área donde esta ejerciendo el voluntariado asignado, Ejemplo: Si el continente es: Suramérica, en el país: Colombia.</t>
    </r>
  </si>
  <si>
    <t xml:space="preserve">VALORACIÓN POR ASIGNACIÓN 
</t>
  </si>
  <si>
    <t>10 años o más</t>
  </si>
  <si>
    <r>
      <t>TIEMPO</t>
    </r>
    <r>
      <rPr>
        <b/>
        <i/>
        <u/>
        <sz val="8"/>
        <color rgb="FFFF0000"/>
        <rFont val="Arial"/>
        <family val="2"/>
      </rPr>
      <t xml:space="preserve"> 
</t>
    </r>
    <r>
      <rPr>
        <i/>
        <u/>
        <sz val="8"/>
        <color rgb="FFFF0000"/>
        <rFont val="Arial"/>
        <family val="2"/>
      </rPr>
      <t>Participación efectiva y continuada en las actividades de voluntariado)</t>
    </r>
  </si>
  <si>
    <t>Desde 120 meses o más</t>
  </si>
  <si>
    <t>Entre 96 meses  y  119 meses</t>
  </si>
  <si>
    <t>Entre  84 meses  y  95 meses</t>
  </si>
  <si>
    <t>Entre 72 meses  y  83 meses</t>
  </si>
  <si>
    <t>Entre 60 meses  y  71 meses</t>
  </si>
  <si>
    <t>Entre 48 meses  y  59 meses</t>
  </si>
  <si>
    <t>Entre 36 meses  y  47 meses</t>
  </si>
  <si>
    <t>Entre 24 meses  y  35 meses</t>
  </si>
  <si>
    <t>Entre 12 meses  y  23 meses</t>
  </si>
  <si>
    <t>Menos de 12 meses</t>
  </si>
  <si>
    <t>mateorocha@yaoo.com</t>
  </si>
  <si>
    <t>Ibeth Puerta Gutierrez</t>
  </si>
  <si>
    <t>Subfinanciero</t>
  </si>
  <si>
    <t>Asistente Administrativo</t>
  </si>
  <si>
    <t>Secretarias y personal administrativo gestion Global</t>
  </si>
  <si>
    <t>GUÍA PARA DILIGENCIAR EL CONSOLIDADO INTERNACIONAL DE VOLUNTARIADO CERTIFICADO POR LOS LIDERES DE CADA ZONA - SE DEBE LEER ANTES DE INICIAR SU DILIGENCIAMIENTO</t>
  </si>
  <si>
    <r>
      <t xml:space="preserve">En la columna "A" corresponde a: </t>
    </r>
    <r>
      <rPr>
        <b/>
        <u/>
        <sz val="11"/>
        <color theme="1"/>
        <rFont val="Arial"/>
        <family val="2"/>
      </rPr>
      <t>"CONTINENTE"</t>
    </r>
    <r>
      <rPr>
        <sz val="11"/>
        <color theme="1"/>
        <rFont val="Arial"/>
        <family val="2"/>
      </rPr>
      <t>, en esta celda deberá darle clip al nombre del continente en el cual se encuentra ubicado el país donde esta ejerciendo el voluntariado asignado, Ejemplo: Suramérica, Centroamérica, Europa, África, etc.</t>
    </r>
  </si>
  <si>
    <t>TIEMPO DE PARTICIPACION</t>
  </si>
  <si>
    <r>
      <t xml:space="preserve">En las columnas "Z y AA" corresponde al: </t>
    </r>
    <r>
      <rPr>
        <b/>
        <u/>
        <sz val="11"/>
        <color theme="1"/>
        <rFont val="Arial"/>
        <family val="2"/>
      </rPr>
      <t>"NOMBRE DEL LIDER VOLUNTARIO, QUIEN REALIZO LA VALORACION"</t>
    </r>
    <r>
      <rPr>
        <sz val="11"/>
        <color theme="1"/>
        <rFont val="Arial"/>
        <family val="2"/>
      </rPr>
      <t>, en esta celda deberá colocar el nombre del lider voluntario que hizo la valoracion, teniendo como criterio la veracidad y la realidad de su ejecucion, y en la siguiente columna debera colocar asignacion autorizada del lider voluntario y el sitio (nivel) donde desempeña dicho voluntariado.</t>
    </r>
  </si>
  <si>
    <t>Columna1</t>
  </si>
  <si>
    <t>Columna2</t>
  </si>
  <si>
    <t>No.</t>
  </si>
  <si>
    <t>Se recomienda que solo debe ser diligenciado las líneas de color blanco, iniciando por la fila 4, y los títulos que solo se encuentran de color negro</t>
  </si>
  <si>
    <t>Desde la fila dos en adelante, partiendo de las columnas A, B, C, D y E que corresponden a la Ubicación Geográfica, en estas celdas solo debe dar clip y aparece un         al cual deberá pulsar y se despliega el nombre correspondiente a País, Departamento y Municipio</t>
  </si>
  <si>
    <r>
      <t xml:space="preserve">En la columna "C" corresponde a: </t>
    </r>
    <r>
      <rPr>
        <b/>
        <u/>
        <sz val="11"/>
        <color theme="1"/>
        <rFont val="Arial"/>
        <family val="2"/>
      </rPr>
      <t>"REGIÓN"</t>
    </r>
    <r>
      <rPr>
        <sz val="11"/>
        <color theme="1"/>
        <rFont val="Arial"/>
        <family val="2"/>
      </rPr>
      <t xml:space="preserve">, en esta celda deberá pulsar la región donde queda ubicado el departamento donde ejerciendo el voluntariado asignado, según el caso en </t>
    </r>
    <r>
      <rPr>
        <b/>
        <sz val="11"/>
        <color theme="1"/>
        <rFont val="Arial"/>
        <family val="2"/>
      </rPr>
      <t>COLOMBIA</t>
    </r>
    <r>
      <rPr>
        <sz val="11"/>
        <color theme="1"/>
        <rFont val="Arial"/>
        <family val="2"/>
      </rPr>
      <t xml:space="preserve">: </t>
    </r>
    <r>
      <rPr>
        <b/>
        <sz val="11"/>
        <color theme="1"/>
        <rFont val="Arial"/>
        <family val="2"/>
      </rPr>
      <t>REGIÓN ANDINA, REGIÓN CARIBE, REGIÓN ORINOQUIA, REGIÓN PACIFICA, REGIÓN AMAZÓNICA</t>
    </r>
    <r>
      <rPr>
        <sz val="11"/>
        <color theme="1"/>
        <rFont val="Arial"/>
        <family val="2"/>
      </rPr>
      <t xml:space="preserve"> y </t>
    </r>
    <r>
      <rPr>
        <b/>
        <sz val="11"/>
        <color theme="1"/>
        <rFont val="Arial"/>
        <family val="2"/>
      </rPr>
      <t xml:space="preserve">REGIÓN INSULAR </t>
    </r>
    <r>
      <rPr>
        <sz val="11"/>
        <color theme="1"/>
        <rFont val="Arial"/>
        <family val="2"/>
      </rPr>
      <t>, por Ejemplo: Si el continente es: Suramérica, en el país: Colombia, Región Atlántica, Departamento: Bolívar.</t>
    </r>
  </si>
  <si>
    <r>
      <t xml:space="preserve">En la columna "D" corresponde a: </t>
    </r>
    <r>
      <rPr>
        <b/>
        <u/>
        <sz val="11"/>
        <color theme="1"/>
        <rFont val="Arial"/>
        <family val="2"/>
      </rPr>
      <t>"DEPARTAMENTO</t>
    </r>
    <r>
      <rPr>
        <b/>
        <sz val="11"/>
        <color theme="1"/>
        <rFont val="Arial"/>
        <family val="2"/>
      </rPr>
      <t xml:space="preserve">, </t>
    </r>
    <r>
      <rPr>
        <b/>
        <u/>
        <sz val="11"/>
        <color theme="1"/>
        <rFont val="Arial"/>
        <family val="2"/>
      </rPr>
      <t>PROVINCIA</t>
    </r>
    <r>
      <rPr>
        <b/>
        <sz val="11"/>
        <color theme="1"/>
        <rFont val="Arial"/>
        <family val="2"/>
      </rPr>
      <t xml:space="preserve"> o </t>
    </r>
    <r>
      <rPr>
        <b/>
        <u/>
        <sz val="11"/>
        <color theme="1"/>
        <rFont val="Arial"/>
        <family val="2"/>
      </rPr>
      <t>ESTADO"</t>
    </r>
    <r>
      <rPr>
        <sz val="11"/>
        <color theme="1"/>
        <rFont val="Arial"/>
        <family val="2"/>
      </rPr>
      <t>, en esta celda deberá coloca el nombre del Departamento, Provincia o Estado, según el caso de cada país, donde se encuentra ubicado la zona donde esta ejerciendo el voluntariado asignado, Ejemplo: Si el continente es: Suramérica, en el país: Colombia, en el Departamento: Bolívar.</t>
    </r>
  </si>
  <si>
    <r>
      <t>En la columna "E" corresponde a: "</t>
    </r>
    <r>
      <rPr>
        <b/>
        <sz val="11"/>
        <color theme="1"/>
        <rFont val="Arial"/>
        <family val="2"/>
      </rPr>
      <t>MUNICIPIO</t>
    </r>
    <r>
      <rPr>
        <sz val="11"/>
        <color theme="1"/>
        <rFont val="Arial"/>
        <family val="2"/>
      </rPr>
      <t>", en esta celda deberá seleccionar el nombre del Municipio, según el caso de cada país, donde se encuentra ubicado el área donde esta ejerciendo el voluntariado asignado, Ejemplo: Si el continente es: Suramérica, en el país: Colombia, en el Departamento: Bolívar, el municipio: Arjona.</t>
    </r>
  </si>
  <si>
    <r>
      <t>En la fila dos, de las columnas "F, G, H e I" corresponden a la "</t>
    </r>
    <r>
      <rPr>
        <b/>
        <sz val="11"/>
        <color theme="1"/>
        <rFont val="Arial"/>
        <family val="2"/>
      </rPr>
      <t>IDENTIFICACIÓN DEL VOLUNTARIO</t>
    </r>
    <r>
      <rPr>
        <sz val="11"/>
        <color theme="1"/>
        <rFont val="Arial"/>
        <family val="2"/>
      </rPr>
      <t>". Estas celdas deberán ser llenadas con los datos correspondiente a cada voluntario tal cual como aparece identificado en su documento de identidad, de acuerdo a la información requerida.</t>
    </r>
  </si>
  <si>
    <r>
      <t xml:space="preserve">En la columna "J, K y L " corresponde al: </t>
    </r>
    <r>
      <rPr>
        <b/>
        <u/>
        <sz val="11"/>
        <color theme="1"/>
        <rFont val="Arial"/>
        <family val="2"/>
      </rPr>
      <t>"DATOS DE CONTACTO DEL VOLUNTARIO"</t>
    </r>
    <r>
      <rPr>
        <sz val="11"/>
        <color theme="1"/>
        <rFont val="Arial"/>
        <family val="2"/>
      </rPr>
      <t>, en esta celda deberá colocar los datos requeridos correspondiente al siervo que esta sirviendo como voluntario.</t>
    </r>
  </si>
  <si>
    <r>
      <t xml:space="preserve">En la columna "M" corresponde a la: </t>
    </r>
    <r>
      <rPr>
        <b/>
        <u/>
        <sz val="11"/>
        <color theme="1"/>
        <rFont val="Arial"/>
        <family val="2"/>
      </rPr>
      <t>"ASIGNACIÓN ACTUAL DEL VOLUNTARIO"</t>
    </r>
    <r>
      <rPr>
        <sz val="11"/>
        <color theme="1"/>
        <rFont val="Arial"/>
        <family val="2"/>
      </rPr>
      <t>, en esta celda deberá colocar solo el nombre del Rol que le fue asignado</t>
    </r>
  </si>
  <si>
    <r>
      <t xml:space="preserve">En las columnas "N, O, P Q y R" corresponde al: </t>
    </r>
    <r>
      <rPr>
        <b/>
        <u/>
        <sz val="11"/>
        <color theme="1"/>
        <rFont val="Arial"/>
        <family val="2"/>
      </rPr>
      <t>"ASIGNACIÓN Y TIEMPO DEL VOLUNTARIO EN LA FUNDACIÓN"</t>
    </r>
    <r>
      <rPr>
        <sz val="11"/>
        <color theme="1"/>
        <rFont val="Arial"/>
        <family val="2"/>
      </rPr>
      <t xml:space="preserve">, esta celda se deberá hacerle un clip y aparecerá la asignación correspondiente a la cual usted deberá escoger,  según la asignación ordenada, una ves escogida dicha asignación le aparecerá automáticamente el puntaje correspondiente (columna o),  deberá pasar a las columnas: P y Q en las cuales deberá colocar la fecha en que inicio su voluntariado y si esta sirviendo en la actualidad en la fundación deberá colocar la fecha del día en que suministra los datos, estas fecha deben ser en formato: primero el día, después el mes y por ultimo el año, separados con un guion medio. </t>
    </r>
  </si>
  <si>
    <r>
      <t xml:space="preserve">En la columnas "S y T " corresponde al: </t>
    </r>
    <r>
      <rPr>
        <b/>
        <u/>
        <sz val="11"/>
        <color theme="1"/>
        <rFont val="Arial"/>
        <family val="2"/>
      </rPr>
      <t>"TIEMPO DE PARTICIPACIÓN DEL VOLUNTARIO"</t>
    </r>
    <r>
      <rPr>
        <sz val="11"/>
        <color theme="1"/>
        <rFont val="Arial"/>
        <family val="2"/>
      </rPr>
      <t>, en esta celda deberá darle clip a la celda y aparecerá unos rangos de tiempo en meses, para que usted escoja de acuerdo al tiempo real y verdadero que lleva sirviendo en la fundación.</t>
    </r>
  </si>
  <si>
    <t>En las columnas "U, V, W, X y Y" corresponde a la: "VALORACIÓN DE LA GESTIÓN DEL VOLUNTARIO", en estas celdas deberá ser diligenciada por el Director, ya sea del País, Departamento o Municipio, según sea el caso, quien deberá solo dar clip a la celda correspondiente y elegir la opción real y verdadera de acuerdo al desempeño realizado por el servidor.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</si>
</sst>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yy;@"/>
    <numFmt numFmtId="165" formatCode="#,##0;[Red]#,##0"/>
    <numFmt numFmtId="166" formatCode="#,##0.00;[Red]#,##0.00"/>
  </numFmts>
  <fonts count="3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b/>
      <sz val="11"/>
      <name val="Arial"/>
      <family val="2"/>
    </font>
    <font>
      <b/>
      <sz val="8"/>
      <name val="Arial"/>
      <family val="2"/>
    </font>
    <font>
      <b/>
      <i/>
      <u/>
      <sz val="11"/>
      <name val="Arial"/>
      <family val="2"/>
    </font>
    <font>
      <i/>
      <u/>
      <sz val="8"/>
      <name val="Arial"/>
      <family val="2"/>
    </font>
    <font>
      <i/>
      <sz val="9"/>
      <name val="Arial"/>
      <family val="2"/>
    </font>
    <font>
      <i/>
      <sz val="1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0A0A0A"/>
      <name val="Arial"/>
      <family val="2"/>
    </font>
    <font>
      <b/>
      <sz val="12"/>
      <name val="Arial Black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u/>
      <sz val="8"/>
      <name val="Arial"/>
      <family val="2"/>
    </font>
    <font>
      <sz val="11"/>
      <name val="Arial"/>
      <family val="2"/>
    </font>
    <font>
      <b/>
      <sz val="11"/>
      <color rgb="FFC00000"/>
      <name val="Arial"/>
      <family val="2"/>
    </font>
    <font>
      <b/>
      <i/>
      <u/>
      <sz val="11"/>
      <color rgb="FFFF0000"/>
      <name val="Arial"/>
      <family val="2"/>
    </font>
    <font>
      <i/>
      <u/>
      <sz val="8"/>
      <color rgb="FFFF0000"/>
      <name val="Arial"/>
      <family val="2"/>
    </font>
    <font>
      <b/>
      <i/>
      <u/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i/>
      <sz val="12"/>
      <color rgb="FFFF0000"/>
      <name val="Arial"/>
      <family val="2"/>
    </font>
    <font>
      <b/>
      <sz val="16"/>
      <color theme="1"/>
      <name val="Arial Black"/>
      <family val="2"/>
    </font>
    <font>
      <sz val="16"/>
      <color theme="1"/>
      <name val="Aptos Narrow"/>
      <family val="2"/>
      <scheme val="minor"/>
    </font>
    <font>
      <b/>
      <i/>
      <u/>
      <sz val="8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CFE2F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CFE2F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2">
    <xf numFmtId="0" fontId="0" fillId="0" borderId="0" xfId="0"/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/>
    </xf>
    <xf numFmtId="0" fontId="10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justify" vertical="justify"/>
    </xf>
    <xf numFmtId="0" fontId="15" fillId="0" borderId="7" xfId="0" applyFont="1" applyBorder="1" applyAlignment="1">
      <alignment horizontal="justify" vertical="justify" wrapText="1"/>
    </xf>
    <xf numFmtId="164" fontId="0" fillId="0" borderId="4" xfId="0" applyNumberFormat="1" applyBorder="1" applyAlignment="1">
      <alignment horizontal="center"/>
    </xf>
    <xf numFmtId="165" fontId="5" fillId="3" borderId="4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0" fillId="6" borderId="4" xfId="0" applyFill="1" applyBorder="1" applyAlignment="1">
      <alignment vertical="center" wrapText="1"/>
    </xf>
    <xf numFmtId="0" fontId="2" fillId="6" borderId="4" xfId="0" applyFont="1" applyFill="1" applyBorder="1" applyAlignment="1">
      <alignment vertical="center"/>
    </xf>
    <xf numFmtId="0" fontId="0" fillId="6" borderId="3" xfId="0" applyFill="1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2" fillId="6" borderId="3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8" fillId="8" borderId="4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8" fillId="2" borderId="5" xfId="0" applyFont="1" applyFill="1" applyBorder="1" applyAlignment="1">
      <alignment horizontal="center" vertical="center" wrapText="1"/>
    </xf>
    <xf numFmtId="0" fontId="2" fillId="0" borderId="0" xfId="0" applyFont="1"/>
    <xf numFmtId="0" fontId="8" fillId="2" borderId="8" xfId="0" applyFont="1" applyFill="1" applyBorder="1" applyAlignment="1">
      <alignment horizontal="center" vertical="center" wrapText="1"/>
    </xf>
    <xf numFmtId="0" fontId="0" fillId="9" borderId="9" xfId="0" applyFill="1" applyBorder="1"/>
    <xf numFmtId="0" fontId="0" fillId="0" borderId="9" xfId="0" applyBorder="1"/>
    <xf numFmtId="0" fontId="0" fillId="9" borderId="10" xfId="0" applyFill="1" applyBorder="1"/>
    <xf numFmtId="0" fontId="0" fillId="0" borderId="10" xfId="0" applyBorder="1"/>
    <xf numFmtId="0" fontId="8" fillId="2" borderId="0" xfId="0" applyFont="1" applyFill="1" applyAlignment="1">
      <alignment horizontal="center" vertical="center" wrapText="1"/>
    </xf>
    <xf numFmtId="0" fontId="18" fillId="0" borderId="0" xfId="0" applyFont="1"/>
    <xf numFmtId="0" fontId="2" fillId="5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5" borderId="12" xfId="0" applyFill="1" applyBorder="1" applyAlignment="1">
      <alignment vertical="center" wrapText="1"/>
    </xf>
    <xf numFmtId="0" fontId="0" fillId="6" borderId="13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24" fillId="10" borderId="4" xfId="0" applyFont="1" applyFill="1" applyBorder="1" applyAlignment="1">
      <alignment horizontal="left" vertical="center" wrapText="1"/>
    </xf>
    <xf numFmtId="0" fontId="23" fillId="10" borderId="14" xfId="0" applyFont="1" applyFill="1" applyBorder="1" applyAlignment="1">
      <alignment vertical="center" wrapText="1"/>
    </xf>
    <xf numFmtId="0" fontId="23" fillId="10" borderId="3" xfId="0" applyFont="1" applyFill="1" applyBorder="1" applyAlignment="1">
      <alignment horizontal="left" vertical="center" wrapText="1"/>
    </xf>
    <xf numFmtId="0" fontId="23" fillId="10" borderId="5" xfId="0" applyFont="1" applyFill="1" applyBorder="1" applyAlignment="1">
      <alignment horizontal="left" vertical="center" wrapText="1"/>
    </xf>
    <xf numFmtId="0" fontId="23" fillId="10" borderId="4" xfId="0" applyFont="1" applyFill="1" applyBorder="1" applyAlignment="1">
      <alignment vertical="center" wrapText="1"/>
    </xf>
    <xf numFmtId="0" fontId="24" fillId="10" borderId="3" xfId="0" applyFont="1" applyFill="1" applyBorder="1" applyAlignment="1">
      <alignment vertical="center" wrapText="1"/>
    </xf>
    <xf numFmtId="0" fontId="23" fillId="10" borderId="3" xfId="0" applyFont="1" applyFill="1" applyBorder="1" applyAlignment="1">
      <alignment vertical="center" wrapText="1"/>
    </xf>
    <xf numFmtId="0" fontId="23" fillId="10" borderId="11" xfId="0" applyFont="1" applyFill="1" applyBorder="1" applyAlignment="1">
      <alignment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vertical="center" wrapText="1"/>
    </xf>
    <xf numFmtId="0" fontId="2" fillId="11" borderId="14" xfId="0" applyFont="1" applyFill="1" applyBorder="1" applyAlignment="1">
      <alignment vertical="center" wrapText="1"/>
    </xf>
    <xf numFmtId="0" fontId="2" fillId="11" borderId="3" xfId="0" applyFont="1" applyFill="1" applyBorder="1" applyAlignment="1">
      <alignment vertical="center" wrapText="1"/>
    </xf>
    <xf numFmtId="0" fontId="0" fillId="11" borderId="4" xfId="0" applyFill="1" applyBorder="1" applyAlignment="1">
      <alignment vertical="center" wrapText="1"/>
    </xf>
    <xf numFmtId="0" fontId="0" fillId="3" borderId="0" xfId="0" applyFill="1"/>
    <xf numFmtId="0" fontId="8" fillId="4" borderId="16" xfId="0" applyFont="1" applyFill="1" applyBorder="1" applyAlignment="1">
      <alignment horizontal="center" vertical="center" wrapText="1"/>
    </xf>
    <xf numFmtId="0" fontId="21" fillId="10" borderId="13" xfId="0" applyFont="1" applyFill="1" applyBorder="1" applyAlignment="1">
      <alignment horizontal="center" vertical="center"/>
    </xf>
    <xf numFmtId="0" fontId="21" fillId="10" borderId="6" xfId="0" applyFont="1" applyFill="1" applyBorder="1" applyAlignment="1">
      <alignment horizontal="center" vertical="center"/>
    </xf>
    <xf numFmtId="0" fontId="21" fillId="10" borderId="13" xfId="0" applyFont="1" applyFill="1" applyBorder="1" applyAlignment="1">
      <alignment horizontal="center" vertical="center" wrapText="1"/>
    </xf>
    <xf numFmtId="0" fontId="21" fillId="10" borderId="16" xfId="0" applyFont="1" applyFill="1" applyBorder="1" applyAlignment="1">
      <alignment horizontal="center" vertical="center" wrapText="1"/>
    </xf>
    <xf numFmtId="0" fontId="21" fillId="10" borderId="15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vertical="center" wrapText="1"/>
    </xf>
    <xf numFmtId="0" fontId="21" fillId="10" borderId="6" xfId="0" applyFont="1" applyFill="1" applyBorder="1" applyAlignment="1">
      <alignment vertical="center" wrapText="1"/>
    </xf>
    <xf numFmtId="0" fontId="21" fillId="10" borderId="16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wrapText="1"/>
    </xf>
    <xf numFmtId="0" fontId="27" fillId="8" borderId="4" xfId="0" applyFont="1" applyFill="1" applyBorder="1" applyAlignment="1">
      <alignment vertical="center" wrapText="1"/>
    </xf>
    <xf numFmtId="0" fontId="0" fillId="0" borderId="4" xfId="0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14" fontId="8" fillId="8" borderId="4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8" fillId="3" borderId="4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6" fontId="8" fillId="2" borderId="1" xfId="0" applyNumberFormat="1" applyFont="1" applyFill="1" applyBorder="1" applyAlignment="1">
      <alignment horizontal="center" vertical="center" wrapText="1"/>
    </xf>
    <xf numFmtId="166" fontId="8" fillId="8" borderId="4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29" fillId="4" borderId="4" xfId="0" applyFont="1" applyFill="1" applyBorder="1" applyAlignment="1">
      <alignment horizontal="center" vertical="center" wrapText="1"/>
    </xf>
    <xf numFmtId="0" fontId="32" fillId="4" borderId="4" xfId="0" applyFont="1" applyFill="1" applyBorder="1" applyAlignment="1">
      <alignment horizontal="center" vertical="center" wrapText="1"/>
    </xf>
    <xf numFmtId="166" fontId="32" fillId="4" borderId="4" xfId="0" applyNumberFormat="1" applyFont="1" applyFill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center" vertical="center" wrapText="1"/>
    </xf>
    <xf numFmtId="0" fontId="33" fillId="2" borderId="4" xfId="0" applyFont="1" applyFill="1" applyBorder="1" applyAlignment="1">
      <alignment horizontal="center" vertical="center" wrapText="1"/>
    </xf>
    <xf numFmtId="0" fontId="34" fillId="2" borderId="6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wrapText="1"/>
    </xf>
    <xf numFmtId="0" fontId="10" fillId="4" borderId="21" xfId="0" applyFont="1" applyFill="1" applyBorder="1" applyAlignment="1">
      <alignment horizontal="center" vertical="center" wrapText="1"/>
    </xf>
    <xf numFmtId="0" fontId="0" fillId="11" borderId="12" xfId="0" applyFill="1" applyBorder="1" applyAlignment="1">
      <alignment horizontal="left" vertical="center" wrapText="1"/>
    </xf>
    <xf numFmtId="0" fontId="0" fillId="11" borderId="20" xfId="0" applyFill="1" applyBorder="1" applyAlignment="1">
      <alignment horizontal="left" vertical="center" wrapText="1"/>
    </xf>
    <xf numFmtId="0" fontId="2" fillId="11" borderId="21" xfId="0" applyFont="1" applyFill="1" applyBorder="1" applyAlignment="1">
      <alignment horizontal="center" vertical="center" wrapText="1"/>
    </xf>
    <xf numFmtId="0" fontId="0" fillId="11" borderId="12" xfId="0" applyFill="1" applyBorder="1" applyAlignment="1">
      <alignment vertical="center" wrapText="1"/>
    </xf>
    <xf numFmtId="0" fontId="2" fillId="11" borderId="20" xfId="0" applyFont="1" applyFill="1" applyBorder="1" applyAlignment="1">
      <alignment vertical="center" wrapText="1"/>
    </xf>
    <xf numFmtId="0" fontId="2" fillId="11" borderId="12" xfId="0" applyFont="1" applyFill="1" applyBorder="1" applyAlignment="1">
      <alignment vertical="center" wrapText="1"/>
    </xf>
    <xf numFmtId="0" fontId="0" fillId="11" borderId="2" xfId="0" applyFill="1" applyBorder="1" applyAlignment="1">
      <alignment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vertical="center" wrapText="1"/>
    </xf>
    <xf numFmtId="0" fontId="0" fillId="11" borderId="17" xfId="0" applyFill="1" applyBorder="1" applyAlignment="1">
      <alignment horizontal="left" vertical="center" wrapText="1"/>
    </xf>
    <xf numFmtId="0" fontId="0" fillId="11" borderId="17" xfId="0" applyFill="1" applyBorder="1" applyAlignment="1">
      <alignment vertical="center" wrapText="1"/>
    </xf>
    <xf numFmtId="0" fontId="2" fillId="11" borderId="18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 wrapText="1"/>
    </xf>
    <xf numFmtId="0" fontId="32" fillId="4" borderId="3" xfId="0" applyFont="1" applyFill="1" applyBorder="1" applyAlignment="1">
      <alignment horizontal="center" vertical="center" wrapText="1"/>
    </xf>
    <xf numFmtId="0" fontId="0" fillId="11" borderId="18" xfId="0" applyFill="1" applyBorder="1" applyAlignment="1">
      <alignment horizontal="left" vertical="center" wrapText="1"/>
    </xf>
    <xf numFmtId="0" fontId="2" fillId="11" borderId="19" xfId="0" applyFont="1" applyFill="1" applyBorder="1" applyAlignment="1">
      <alignment horizontal="center" vertical="center" wrapText="1"/>
    </xf>
    <xf numFmtId="0" fontId="2" fillId="11" borderId="18" xfId="0" applyFont="1" applyFill="1" applyBorder="1" applyAlignment="1">
      <alignment vertical="center" wrapText="1"/>
    </xf>
    <xf numFmtId="0" fontId="2" fillId="11" borderId="17" xfId="0" applyFont="1" applyFill="1" applyBorder="1" applyAlignment="1">
      <alignment vertical="center" wrapText="1"/>
    </xf>
    <xf numFmtId="0" fontId="4" fillId="8" borderId="4" xfId="0" applyFont="1" applyFill="1" applyBorder="1" applyAlignment="1">
      <alignment horizontal="center" vertical="center" wrapText="1"/>
    </xf>
    <xf numFmtId="165" fontId="33" fillId="2" borderId="4" xfId="0" applyNumberFormat="1" applyFont="1" applyFill="1" applyBorder="1" applyAlignment="1">
      <alignment horizontal="center" vertical="center" wrapText="1"/>
    </xf>
    <xf numFmtId="165" fontId="4" fillId="8" borderId="4" xfId="0" applyNumberFormat="1" applyFont="1" applyFill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/>
    </xf>
    <xf numFmtId="165" fontId="0" fillId="3" borderId="4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3" fillId="8" borderId="4" xfId="1" applyFill="1" applyBorder="1" applyAlignment="1">
      <alignment horizontal="center" vertical="center" wrapText="1"/>
    </xf>
    <xf numFmtId="0" fontId="3" fillId="3" borderId="4" xfId="1" applyFill="1" applyBorder="1" applyAlignment="1">
      <alignment horizontal="center" vertical="center"/>
    </xf>
    <xf numFmtId="0" fontId="3" fillId="3" borderId="4" xfId="1" applyFill="1" applyBorder="1" applyAlignment="1">
      <alignment horizontal="center"/>
    </xf>
    <xf numFmtId="0" fontId="7" fillId="3" borderId="4" xfId="1" applyFont="1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14" fillId="3" borderId="22" xfId="0" applyFont="1" applyFill="1" applyBorder="1" applyAlignment="1">
      <alignment vertical="center" wrapText="1"/>
    </xf>
    <xf numFmtId="0" fontId="15" fillId="0" borderId="23" xfId="0" applyFont="1" applyBorder="1" applyAlignment="1">
      <alignment horizontal="center" vertical="center"/>
    </xf>
    <xf numFmtId="0" fontId="15" fillId="0" borderId="23" xfId="0" applyFont="1" applyBorder="1" applyAlignment="1">
      <alignment horizontal="justify" vertical="justify" wrapText="1"/>
    </xf>
    <xf numFmtId="0" fontId="17" fillId="0" borderId="0" xfId="0" applyFont="1" applyAlignment="1">
      <alignment horizontal="center" vertical="center"/>
    </xf>
    <xf numFmtId="0" fontId="15" fillId="0" borderId="0" xfId="0" applyFont="1"/>
    <xf numFmtId="0" fontId="17" fillId="0" borderId="0" xfId="0" applyFont="1" applyAlignment="1">
      <alignment horizontal="center" vertical="center" wrapText="1"/>
    </xf>
    <xf numFmtId="0" fontId="36" fillId="7" borderId="4" xfId="0" applyFont="1" applyFill="1" applyBorder="1" applyAlignment="1">
      <alignment horizontal="center" wrapText="1"/>
    </xf>
    <xf numFmtId="0" fontId="37" fillId="7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wrapText="1"/>
    </xf>
    <xf numFmtId="0" fontId="9" fillId="4" borderId="4" xfId="0" applyFont="1" applyFill="1" applyBorder="1" applyAlignment="1">
      <alignment horizontal="center" vertical="center" wrapText="1"/>
    </xf>
    <xf numFmtId="0" fontId="34" fillId="2" borderId="6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20" fillId="10" borderId="13" xfId="0" applyFont="1" applyFill="1" applyBorder="1" applyAlignment="1">
      <alignment horizontal="left" vertical="center" wrapText="1"/>
    </xf>
    <xf numFmtId="0" fontId="20" fillId="10" borderId="15" xfId="0" applyFont="1" applyFill="1" applyBorder="1" applyAlignment="1">
      <alignment horizontal="left" vertical="center" wrapText="1"/>
    </xf>
    <xf numFmtId="0" fontId="20" fillId="10" borderId="16" xfId="0" applyFont="1" applyFill="1" applyBorder="1" applyAlignment="1">
      <alignment horizontal="left" vertical="center" wrapText="1"/>
    </xf>
    <xf numFmtId="0" fontId="2" fillId="11" borderId="3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14" xfId="0" applyFill="1" applyBorder="1" applyAlignment="1">
      <alignment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left" vertical="center" wrapText="1"/>
    </xf>
    <xf numFmtId="0" fontId="0" fillId="11" borderId="14" xfId="0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0" fillId="5" borderId="5" xfId="0" applyFill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left" vertical="center" wrapText="1"/>
    </xf>
    <xf numFmtId="0" fontId="0" fillId="6" borderId="14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0" fillId="10" borderId="13" xfId="0" applyFill="1" applyBorder="1" applyAlignment="1">
      <alignment horizontal="left" vertical="center" wrapText="1"/>
    </xf>
    <xf numFmtId="0" fontId="0" fillId="10" borderId="15" xfId="0" applyFill="1" applyBorder="1" applyAlignment="1">
      <alignment horizontal="left" vertical="center" wrapText="1"/>
    </xf>
    <xf numFmtId="0" fontId="0" fillId="10" borderId="6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14" xfId="0" applyFill="1" applyBorder="1" applyAlignment="1">
      <alignment horizontal="left" vertical="center" wrapText="1"/>
    </xf>
    <xf numFmtId="0" fontId="0" fillId="5" borderId="4" xfId="0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/>
    </xf>
    <xf numFmtId="0" fontId="21" fillId="10" borderId="13" xfId="0" applyFont="1" applyFill="1" applyBorder="1" applyAlignment="1">
      <alignment horizontal="left" vertical="center" wrapText="1"/>
    </xf>
    <xf numFmtId="0" fontId="21" fillId="10" borderId="16" xfId="0" applyFont="1" applyFill="1" applyBorder="1" applyAlignment="1">
      <alignment horizontal="left" vertical="center" wrapText="1"/>
    </xf>
    <xf numFmtId="0" fontId="21" fillId="10" borderId="15" xfId="0" applyFont="1" applyFill="1" applyBorder="1" applyAlignment="1">
      <alignment horizontal="left" vertical="center" wrapText="1"/>
    </xf>
    <xf numFmtId="0" fontId="2" fillId="10" borderId="6" xfId="0" applyFont="1" applyFill="1" applyBorder="1" applyAlignment="1">
      <alignment horizontal="left" vertical="center" wrapText="1"/>
    </xf>
    <xf numFmtId="0" fontId="21" fillId="10" borderId="6" xfId="0" applyFont="1" applyFill="1" applyBorder="1" applyAlignment="1">
      <alignment horizontal="left" vertical="center" wrapText="1"/>
    </xf>
    <xf numFmtId="0" fontId="19" fillId="2" borderId="4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15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CFE2F3"/>
          <bgColor theme="4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CFE2F3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CFE2F3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CFE2F3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CFE2F3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CFE2F3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CFE2F3"/>
          <bgColor theme="4" tint="0.79998168889431442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CFE2F3"/>
          <bgColor theme="4" tint="0.79998168889431442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CFE2F3"/>
          <bgColor theme="4" tint="0.79998168889431442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CFE2F3"/>
          <bgColor theme="4" tint="0.79998168889431442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CFE2F3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justify" vertical="justify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ashed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ashed">
          <color indexed="64"/>
        </top>
        <bottom style="dashed">
          <color indexed="64"/>
        </bottom>
      </border>
    </dxf>
    <dxf>
      <border outline="0">
        <bottom style="dashed">
          <color indexed="64"/>
        </bottom>
      </border>
    </dxf>
    <dxf>
      <font>
        <strike val="0"/>
        <outline val="0"/>
        <shadow val="0"/>
        <vertAlign val="baseline"/>
        <color theme="1"/>
        <name val="Arial"/>
        <family val="2"/>
        <scheme val="none"/>
      </font>
    </dxf>
    <dxf>
      <font>
        <strike val="0"/>
        <outline val="0"/>
        <shadow val="0"/>
        <vertAlign val="baseline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2994660</xdr:colOff>
      <xdr:row>3</xdr:row>
      <xdr:rowOff>243840</xdr:rowOff>
    </xdr:from>
    <xdr:to>
      <xdr:col>1</xdr:col>
      <xdr:colOff>3177540</xdr:colOff>
      <xdr:row>3</xdr:row>
      <xdr:rowOff>373380</xdr:rowOff>
    </xdr:to>
    <xdr:sp macro="" textlink="">
      <xdr:nvSpPr>
        <xdr:cNvPr id="3" name="Flecha: hacia abajo 2">
          <a:extLst>
            <a:ext uri="{FF2B5EF4-FFF2-40B4-BE49-F238E27FC236}">
              <a16:creationId xmlns:a16="http://schemas.microsoft.com/office/drawing/2014/main" id="{32B2C2FE-2597-46E7-9F47-5FC5A4E34366}"/>
            </a:ext>
          </a:extLst>
        </xdr:cNvPr>
        <xdr:cNvSpPr/>
      </xdr:nvSpPr>
      <xdr:spPr>
        <a:xfrm>
          <a:off x="3771900" y="944880"/>
          <a:ext cx="182880" cy="12954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AD1AE82-A700-4C55-B6DC-89D77C633CB4}" name="ASIGNACION" displayName="ASIGNACION" ref="B1:C44" totalsRowShown="0" tableBorderDxfId="152">
  <autoFilter ref="B1:C44" xr:uid="{0AD1AE82-A700-4C55-B6DC-89D77C633CB4}"/>
  <tableColumns count="2">
    <tableColumn id="1" xr3:uid="{B3B43086-3219-4D4F-AAB9-DE27A37CD185}" name="ROL O ASIGNACION_x000a_(Impacto de la gestión en los resultados globales de la Fundación)" dataDxfId="151"/>
    <tableColumn id="2" xr3:uid="{2AE0A2A7-8268-4E9F-80CB-C386AF8377BA}" name="PUNTAJE" dataDxfId="1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8E821F34-0587-49E4-BD4A-1EEF1925BA99}" name="Tabla52" displayName="Tabla52" ref="A1:B16" totalsRowShown="0" headerRowDxfId="149" dataDxfId="148" tableBorderDxfId="147">
  <autoFilter ref="A1:B16" xr:uid="{8E821F34-0587-49E4-BD4A-1EEF1925BA99}"/>
  <tableColumns count="2">
    <tableColumn id="1" xr3:uid="{0FA88541-4922-46CE-AD11-E01C33A201B3}" name="Columna1" dataDxfId="146"/>
    <tableColumn id="2" xr3:uid="{BB88570D-9951-4790-A3C3-26CB5308EBBD}" name="Columna2" dataDxfId="145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BE9ADF-5E72-4F5D-8B9B-9709102245B1}" name="CONTINENTES" displayName="CONTINENTES" ref="A1:A1103" totalsRowShown="0" headerRowDxfId="144" headerRowBorderDxfId="143" tableBorderDxfId="142">
  <autoFilter ref="A1:A1103" xr:uid="{D3BE9ADF-5E72-4F5D-8B9B-9709102245B1}"/>
  <tableColumns count="1">
    <tableColumn id="1" xr3:uid="{9E0C5898-6E84-4632-B625-52E1F8E84052}" name="Continente 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40EA26-E5BD-42BB-A6AA-37F1ADA6F4ED}" name="PAIS" displayName="PAIS" ref="B1:B1103" totalsRowShown="0" headerRowDxfId="141" headerRowBorderDxfId="140" tableBorderDxfId="139">
  <autoFilter ref="B1:B1103" xr:uid="{9940EA26-E5BD-42BB-A6AA-37F1ADA6F4ED}"/>
  <tableColumns count="1">
    <tableColumn id="1" xr3:uid="{72FD5A92-76DA-4117-9B5C-965B1A5633A9}" name="Paí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DCEE2CF-0598-4AD0-8725-A32D69C4B51A}" name="DEPARTAMENTOS" displayName="DEPARTAMENTOS" ref="C1:C1103" totalsRowShown="0" headerRowDxfId="138" headerRowBorderDxfId="137" tableBorderDxfId="136">
  <autoFilter ref="C1:C1103" xr:uid="{DDCEE2CF-0598-4AD0-8725-A32D69C4B51A}"/>
  <tableColumns count="1">
    <tableColumn id="1" xr3:uid="{B32C8C71-E08F-4A96-A863-FD6B69EAF86E}" name="Departamento 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8651FE-39DC-45AA-8C30-6D38A6A3F581}" name="MUNICIPIO" displayName="MUNICIPIO" ref="D1:E1103" totalsRowShown="0" headerRowDxfId="135" headerRowBorderDxfId="134" tableBorderDxfId="133">
  <autoFilter ref="D1:E1103" xr:uid="{098651FE-39DC-45AA-8C30-6D38A6A3F581}"/>
  <tableColumns count="2">
    <tableColumn id="1" xr3:uid="{14DEEA76-49DE-486A-9931-2C87BB295994}" name="Municipio"/>
    <tableColumn id="2" xr3:uid="{6C0A7A94-8AAD-445B-9FB1-7838C0ACFEE2}" name="DPTO.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2474803-9018-4D32-B12B-EE00DA6B9B34}" name="ANTIOQUIA" displayName="ANTIOQUIA" ref="U1:U126" totalsRowShown="0" headerRowDxfId="132" dataDxfId="131" tableBorderDxfId="130">
  <autoFilter ref="U1:U126" xr:uid="{B2474803-9018-4D32-B12B-EE00DA6B9B34}"/>
  <tableColumns count="1">
    <tableColumn id="1" xr3:uid="{03C512C4-1502-484F-ADBE-7451368ACF31}" name="ANTIOQUIA" dataDxfId="1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C45B771-B6AC-4282-A0B5-D0E30D214B2E}" name="ATLÁNTICO" displayName="ATLÁNTICO" ref="W1:W24" totalsRowShown="0" headerRowDxfId="128" dataDxfId="127" tableBorderDxfId="126">
  <autoFilter ref="W1:W24" xr:uid="{1C45B771-B6AC-4282-A0B5-D0E30D214B2E}"/>
  <tableColumns count="1">
    <tableColumn id="1" xr3:uid="{3F7301C2-AED9-436A-880A-885020909C3F}" name="ATLÁNTICO" dataDxfId="12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1CB9381-CDA6-4D39-98DD-24B57B1305D5}" name="BOLÍVAR" displayName="BOLÍVAR" ref="AA1:AA47" totalsRowShown="0" headerRowDxfId="124" dataDxfId="123" tableBorderDxfId="122">
  <autoFilter ref="AA1:AA47" xr:uid="{21CB9381-CDA6-4D39-98DD-24B57B1305D5}"/>
  <tableColumns count="1">
    <tableColumn id="1" xr3:uid="{7F44C722-9076-4E56-B2D9-BF21B5DB5225}" name="BOLÍVAR" dataDxfId="12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709FA58-4FFD-4E29-8532-2DC0649744F9}" name="BOGOTÁ" displayName="BOGOTÁ" ref="Y1:Y2" totalsRowShown="0" headerRowDxfId="120">
  <autoFilter ref="Y1:Y2" xr:uid="{D709FA58-4FFD-4E29-8532-2DC0649744F9}"/>
  <tableColumns count="1">
    <tableColumn id="1" xr3:uid="{5B9727C7-D0FA-48E8-BCCC-CBA8BB4BC77C}" name="BOGOTÁ  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FD0751-7DE5-408C-9D4C-CD25054C9527}" name="REGION_ANDINA" displayName="REGION_ANDINA" ref="I1:I11" totalsRowShown="0" headerRowDxfId="119">
  <autoFilter ref="I1:I11" xr:uid="{23FD0751-7DE5-408C-9D4C-CD25054C9527}"/>
  <tableColumns count="1">
    <tableColumn id="1" xr3:uid="{F492D1CE-BBA1-499F-B27F-59EBFFAB1F4D}" name="R_ANDIN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273A36-2515-449E-BD82-C52275CB3047}" name="REGION_CARIBE" displayName="REGION_CARIBE" ref="K1:K8" totalsRowShown="0" headerRowDxfId="118">
  <autoFilter ref="K1:K8" xr:uid="{EF273A36-2515-449E-BD82-C52275CB3047}"/>
  <tableColumns count="1">
    <tableColumn id="1" xr3:uid="{A930ACDA-B056-4736-B28D-11358F2503C8}" name="R_CARIB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6A2EA0-D444-4AA5-9F58-A9AC4BFE68FE}" name="REGION_PACIFICA" displayName="REGION_PACIFICA" ref="M1:M5" totalsRowShown="0" headerRowDxfId="117">
  <autoFilter ref="M1:M5" xr:uid="{866A2EA0-D444-4AA5-9F58-A9AC4BFE68FE}"/>
  <tableColumns count="1">
    <tableColumn id="1" xr3:uid="{1F5D7D62-C433-4232-ACCE-54B75F65B5D2}" name="R_PACÍFIC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736242-09B7-45B8-A31D-E902B8FDDCBA}" name="REGION_ORINOQUIA" displayName="REGION_ORINOQUIA" ref="O1:O5" totalsRowShown="0" headerRowDxfId="116">
  <autoFilter ref="O1:O5" xr:uid="{2F736242-09B7-45B8-A31D-E902B8FDDCBA}"/>
  <tableColumns count="1">
    <tableColumn id="1" xr3:uid="{A1EEEE0F-567C-406C-BB27-A494C514F055}" name="R_ORINOQUI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5D67275-81E9-4CE2-8EEA-16060692063A}" name="REGION_AMAZONIA" displayName="REGION_AMAZONIA" ref="Q1:Q7" totalsRowShown="0" headerRowDxfId="115">
  <autoFilter ref="Q1:Q7" xr:uid="{45D67275-81E9-4CE2-8EEA-16060692063A}"/>
  <tableColumns count="1">
    <tableColumn id="1" xr3:uid="{85E93AB0-B95D-47BA-AF4D-032801A78ACA}" name="R_AMAZONÍ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D027938-FD7E-4E07-B2AF-B92556CB8A02}" name="REGION_INSULAR" displayName="REGION_INSULAR" ref="S1:S4" totalsRowShown="0" headerRowDxfId="114">
  <autoFilter ref="S1:S4" xr:uid="{9D027938-FD7E-4E07-B2AF-B92556CB8A02}"/>
  <tableColumns count="1">
    <tableColumn id="1" xr3:uid="{26A89369-2B9F-4770-B8C6-A61338BD295C}" name="R_INSULAR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1988348-C193-4A2A-97B9-CA8152C94F6B}" name="BOYACÁ" displayName="BOYACÁ" ref="AC1:AC124" totalsRowShown="0" headerRowDxfId="113" dataDxfId="112" tableBorderDxfId="111">
  <autoFilter ref="AC1:AC124" xr:uid="{B1988348-C193-4A2A-97B9-CA8152C94F6B}"/>
  <tableColumns count="1">
    <tableColumn id="1" xr3:uid="{CD590A77-0DDF-446D-936C-C3570E46B39E}" name="BOYACÁ" dataDxfId="110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0311EEA-31CD-4413-B115-DA594F6E67D6}" name="CALDAS" displayName="CALDAS" ref="AE1:AE28" totalsRowShown="0" headerRowDxfId="109" dataDxfId="108" tableBorderDxfId="107">
  <autoFilter ref="AE1:AE28" xr:uid="{60311EEA-31CD-4413-B115-DA594F6E67D6}"/>
  <tableColumns count="1">
    <tableColumn id="1" xr3:uid="{EA261262-F2DE-4FE5-ADEB-B997C67CDE29}" name="CALDAS" dataDxfId="10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1D71F15-2D97-4C62-AAB3-A9C8DA400A79}" name="CAQUETÁ" displayName="CAQUETÁ" ref="AG1:AG17" totalsRowShown="0" headerRowDxfId="105" dataDxfId="104" tableBorderDxfId="103">
  <autoFilter ref="AG1:AG17" xr:uid="{21D71F15-2D97-4C62-AAB3-A9C8DA400A79}"/>
  <tableColumns count="1">
    <tableColumn id="1" xr3:uid="{D980AA37-ACB9-4BFF-B8D4-28E5EDBB1F74}" name="CAQUETÁ" dataDxfId="102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C1A4DE4-E8B6-4A5D-86AE-4C6FF33495B9}" name="CAUCA" displayName="CAUCA" ref="AI1:AI43" totalsRowShown="0" headerRowDxfId="101" dataDxfId="100" tableBorderDxfId="99">
  <autoFilter ref="AI1:AI43" xr:uid="{1C1A4DE4-E8B6-4A5D-86AE-4C6FF33495B9}"/>
  <tableColumns count="1">
    <tableColumn id="1" xr3:uid="{4D524936-4D66-43FC-AA37-5D59FE21E4D5}" name="CAUCA" dataDxfId="9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1777F6B-A8E0-4A9B-B666-E5BF356F1F10}" name="CESAR" displayName="CESAR" ref="AK1:AK26" totalsRowShown="0" headerRowDxfId="97" dataDxfId="96" tableBorderDxfId="95">
  <autoFilter ref="AK1:AK26" xr:uid="{51777F6B-A8E0-4A9B-B666-E5BF356F1F10}"/>
  <tableColumns count="1">
    <tableColumn id="1" xr3:uid="{981AC87C-C9EB-4D87-8F90-F44FA1D3EF01}" name="CESAR" dataDxfId="94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409C17C-489F-4E7C-8B81-D39EE759CF41}" name="CORDOBA" displayName="CORDOBA" ref="AM1:AM31" totalsRowShown="0" headerRowDxfId="93" dataDxfId="92" tableBorderDxfId="91">
  <autoFilter ref="AM1:AM31" xr:uid="{B409C17C-489F-4E7C-8B81-D39EE759CF41}"/>
  <tableColumns count="1">
    <tableColumn id="1" xr3:uid="{24D2016A-5878-4084-BF17-7B201013A864}" name="CÓRDOBA" dataDxfId="9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AD90374-C5FF-4DE0-B06B-82188BD664E1}" name="CUNDINAMARCA" displayName="CUNDINAMARCA" ref="AO1:AO117" totalsRowShown="0" headerRowDxfId="89" dataDxfId="88" tableBorderDxfId="87">
  <autoFilter ref="AO1:AO117" xr:uid="{3AD90374-C5FF-4DE0-B06B-82188BD664E1}"/>
  <tableColumns count="1">
    <tableColumn id="1" xr3:uid="{C6DC62FE-DC49-43FA-9D13-816061EF33CC}" name="CUNDINAMARCA" dataDxfId="86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BAE628D-92E3-4D4D-9AE2-A9C724CE8546}" name="CHOCO" displayName="CHOCO" ref="AQ1:AQ31" totalsRowShown="0" headerRowDxfId="85" dataDxfId="84" tableBorderDxfId="83">
  <autoFilter ref="AQ1:AQ31" xr:uid="{5BAE628D-92E3-4D4D-9AE2-A9C724CE8546}"/>
  <tableColumns count="1">
    <tableColumn id="1" xr3:uid="{8C5A49CF-84AF-4D9B-BC85-E196DD51A6C3}" name="CHOCÓ" dataDxfId="8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E0DEF20-7161-47CB-9D17-23F37916F062}" name="HUILA" displayName="HUILA" ref="AS1:AS38" totalsRowShown="0" headerRowDxfId="81" dataDxfId="80" tableBorderDxfId="79">
  <autoFilter ref="AS1:AS38" xr:uid="{DE0DEF20-7161-47CB-9D17-23F37916F062}"/>
  <tableColumns count="1">
    <tableColumn id="1" xr3:uid="{230BA298-FC7C-4061-A0C1-0C61DCD78850}" name="HUILA" dataDxfId="7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542D5C-C8F6-4994-ACE2-9A4686A223FB}" name="LA_GUAJIRA" displayName="LA_GUAJIRA" ref="AU1:AU16" totalsRowShown="0" headerRowDxfId="77" dataDxfId="76" tableBorderDxfId="75">
  <autoFilter ref="AU1:AU16" xr:uid="{00542D5C-C8F6-4994-ACE2-9A4686A223FB}"/>
  <tableColumns count="1">
    <tableColumn id="1" xr3:uid="{9AC18FCB-BA55-4B1B-BA2A-D78B0CC0DF5E}" name="LA_GUAJIRA" dataDxfId="74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907E117-2372-4E4E-B46F-F8105DDFF897}" name="MAGDALENA" displayName="MAGDALENA" ref="AW1:AW31" totalsRowShown="0" headerRowDxfId="73" dataDxfId="72" tableBorderDxfId="71">
  <autoFilter ref="AW1:AW31" xr:uid="{0907E117-2372-4E4E-B46F-F8105DDFF897}"/>
  <tableColumns count="1">
    <tableColumn id="1" xr3:uid="{868BB394-DA59-4843-9F3D-081AFA78DF15}" name="MAGDALENA" dataDxfId="70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D064F33-559B-4187-ABE5-2482CFA12376}" name="META" displayName="META" ref="AY1:AY30" totalsRowShown="0" headerRowDxfId="69" dataDxfId="68" tableBorderDxfId="67">
  <autoFilter ref="AY1:AY30" xr:uid="{BD064F33-559B-4187-ABE5-2482CFA12376}"/>
  <tableColumns count="1">
    <tableColumn id="1" xr3:uid="{F680338D-541F-45B4-AF4C-35F2BE8FC465}" name="META" dataDxfId="66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7576F17-94B6-4D8F-92D1-8BD9EB969EFE}" name="NARIÑO" displayName="NARIÑO" ref="BA1:BA65" totalsRowShown="0" headerRowDxfId="65" dataDxfId="64" tableBorderDxfId="63">
  <autoFilter ref="BA1:BA65" xr:uid="{07576F17-94B6-4D8F-92D1-8BD9EB969EFE}"/>
  <tableColumns count="1">
    <tableColumn id="1" xr3:uid="{2AEB2F4D-59B2-43CD-8279-DADC92FF2894}" name="NARIÑO" dataDxfId="62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91E2E8C-CA53-49A4-B984-8ADD5DEC7CBF}" name="NORTE_DE_SANTANDER" displayName="NORTE_DE_SANTANDER" ref="BC1:BC41" totalsRowShown="0" headerRowDxfId="61" dataDxfId="60" tableBorderDxfId="59">
  <autoFilter ref="BC1:BC41" xr:uid="{D91E2E8C-CA53-49A4-B984-8ADD5DEC7CBF}"/>
  <tableColumns count="1">
    <tableColumn id="1" xr3:uid="{AC65831B-FEB3-40BB-B527-9630CEFF48A1}" name="N DE SANTANDER" dataDxfId="58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7DDDC5C-1B53-425A-A955-439B8A97FA21}" name="QUINDIO" displayName="QUINDIO" ref="BE1:BE13" totalsRowShown="0" headerRowDxfId="57" dataDxfId="56" tableBorderDxfId="55">
  <autoFilter ref="BE1:BE13" xr:uid="{37DDDC5C-1B53-425A-A955-439B8A97FA21}"/>
  <tableColumns count="1">
    <tableColumn id="1" xr3:uid="{295EB5E4-FD95-4EFA-99AA-4CB8158272EC}" name="QUINDÍO" dataDxfId="54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A6F0EEC-D3DD-4AF1-9516-2A663E4C8EDE}" name="RISARALDA" displayName="RISARALDA" ref="BG1:BG15" totalsRowShown="0" headerRowDxfId="53" dataDxfId="52" tableBorderDxfId="51">
  <autoFilter ref="BG1:BG15" xr:uid="{AA6F0EEC-D3DD-4AF1-9516-2A663E4C8EDE}"/>
  <tableColumns count="1">
    <tableColumn id="1" xr3:uid="{41E7F7A5-4B24-48A1-976B-B43160A178E6}" name="RISARALDA" dataDxfId="50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1BCC2CC-6E94-42D0-B387-D585994248E8}" name="SANTANDER" displayName="SANTANDER" ref="BI1:BI88" totalsRowShown="0" headerRowDxfId="49" dataDxfId="48" tableBorderDxfId="47">
  <autoFilter ref="BI1:BI88" xr:uid="{A1BCC2CC-6E94-42D0-B387-D585994248E8}"/>
  <tableColumns count="1">
    <tableColumn id="1" xr3:uid="{4D90A61C-CBEA-4D37-89C0-CED818ED53DF}" name="SANTANDER" dataDxfId="46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A02F4F8-102F-4F40-9720-52E39A111FB9}" name="SUCRE" displayName="SUCRE" ref="BK1:BK27" totalsRowShown="0" headerRowDxfId="45" dataDxfId="44" tableBorderDxfId="43">
  <autoFilter ref="BK1:BK27" xr:uid="{CA02F4F8-102F-4F40-9720-52E39A111FB9}"/>
  <tableColumns count="1">
    <tableColumn id="1" xr3:uid="{879876A4-5D0F-45F2-88B6-956663574C7F}" name="SUCRE" dataDxfId="42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0D56007-2865-466D-B2B4-EE71A55ED63B}" name="TOLIMA" displayName="TOLIMA" ref="BM1:BM48" totalsRowShown="0" headerRowDxfId="41" dataDxfId="40" tableBorderDxfId="39">
  <autoFilter ref="BM1:BM48" xr:uid="{A0D56007-2865-466D-B2B4-EE71A55ED63B}"/>
  <tableColumns count="1">
    <tableColumn id="1" xr3:uid="{75BE709D-DF61-4F8D-B676-C0BD022851DA}" name="TOLIMA" dataDxfId="38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64CC62D-FCCF-4480-9A03-E4FDE365FC15}" name="VALLE_DEL_CAUCA" displayName="VALLE_DEL_CAUCA" ref="BO1:BO43" totalsRowShown="0" headerRowDxfId="37" dataDxfId="36" tableBorderDxfId="35">
  <autoFilter ref="BO1:BO43" xr:uid="{664CC62D-FCCF-4480-9A03-E4FDE365FC15}"/>
  <tableColumns count="1">
    <tableColumn id="1" xr3:uid="{7D97D816-F409-4DAC-91AA-02DCADD76538}" name="VALLE DEL C" dataDxfId="34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8A57C6C5-11A0-4B6D-ABB5-F449B522A271}" name="ARAUCA" displayName="ARAUCA" ref="BQ1:BQ8" totalsRowShown="0" headerRowDxfId="33" dataDxfId="32" tableBorderDxfId="31">
  <autoFilter ref="BQ1:BQ8" xr:uid="{8A57C6C5-11A0-4B6D-ABB5-F449B522A271}"/>
  <tableColumns count="1">
    <tableColumn id="1" xr3:uid="{04E032BC-F7AF-4A18-B492-0083AF6D83D8}" name="ARAUCA" dataDxfId="30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F433FED-8517-4423-9E5B-E25E56DC78A5}" name="CASANARE" displayName="CASANARE" ref="BS1:BS20" totalsRowShown="0" headerRowDxfId="29" dataDxfId="28" tableBorderDxfId="27">
  <autoFilter ref="BS1:BS20" xr:uid="{9F433FED-8517-4423-9E5B-E25E56DC78A5}"/>
  <tableColumns count="1">
    <tableColumn id="1" xr3:uid="{0096572B-1D7A-4663-9F6B-B005504B0F73}" name="CASANARE" dataDxfId="26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115DF6F1-9286-4207-ADDE-78977D9AADC0}" name="PUTUMAYO" displayName="PUTUMAYO" ref="BU1:BU14" totalsRowShown="0" headerRowDxfId="25" dataDxfId="24" tableBorderDxfId="23">
  <autoFilter ref="BU1:BU14" xr:uid="{115DF6F1-9286-4207-ADDE-78977D9AADC0}"/>
  <tableColumns count="1">
    <tableColumn id="1" xr3:uid="{CFE93D7F-0485-432F-974E-822C65154A73}" name="PUTUMAYO" dataDxfId="22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F5EF66AE-EBFF-4D3B-B107-52A6094E98B4}" name="A_SAN_ANDRES" displayName="A_SAN_ANDRES" ref="BW1:BW3" totalsRowShown="0" headerRowDxfId="21" tableBorderDxfId="20">
  <autoFilter ref="BW1:BW3" xr:uid="{F5EF66AE-EBFF-4D3B-B107-52A6094E98B4}"/>
  <tableColumns count="1">
    <tableColumn id="1" xr3:uid="{900F1B0C-1848-40EE-AFA9-03F74AC212DD}" name="A. SAN ANDRÉS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70818921-4054-4537-9811-B1BE37A727BA}" name="AMAZONAS" displayName="AMAZONAS" ref="BY1:BY3" totalsRowShown="0" headerRowDxfId="19" tableBorderDxfId="18">
  <autoFilter ref="BY1:BY3" xr:uid="{70818921-4054-4537-9811-B1BE37A727BA}"/>
  <tableColumns count="1">
    <tableColumn id="1" xr3:uid="{DBBEEFD9-C5B8-4BCB-8FFA-293D134A793D}" name="AMAZONAS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A5D21E6-8531-492B-89C7-087BE30A1AE8}" name="GUAINÍA" displayName="GUAINÍA" ref="CA1:CA2" totalsRowShown="0" headerRowDxfId="17" dataDxfId="16" tableBorderDxfId="15">
  <autoFilter ref="CA1:CA2" xr:uid="{EA5D21E6-8531-492B-89C7-087BE30A1AE8}"/>
  <tableColumns count="1">
    <tableColumn id="1" xr3:uid="{0E7FED64-1B22-4232-B160-51F82C4A9E14}" name="GUAINÍA" dataDxfId="1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C08CB6A-0743-4F62-B781-04EACE81207A}" name="GUAVIARE" displayName="GUAVIARE" ref="CC1:CC5" totalsRowShown="0" headerRowDxfId="13" tableBorderDxfId="12">
  <autoFilter ref="CC1:CC5" xr:uid="{4C08CB6A-0743-4F62-B781-04EACE81207A}"/>
  <tableColumns count="1">
    <tableColumn id="1" xr3:uid="{728905E5-AC3B-4593-A2AC-83888E54079C}" name="GUAVIAR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B0B3D879-4EA9-457A-BC45-B959D9C34B0F}" name="VAUPÉS" displayName="VAUPÉS" ref="CE1:CE4" totalsRowShown="0" headerRowDxfId="11" tableBorderDxfId="10">
  <autoFilter ref="CE1:CE4" xr:uid="{B0B3D879-4EA9-457A-BC45-B959D9C34B0F}"/>
  <tableColumns count="1">
    <tableColumn id="1" xr3:uid="{1EB82A74-A618-4A17-AFF8-0F5B9C3D229D}" name="VAUPÉS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F34F047-E20F-4472-A608-754D389847B2}" name="VICHADA" displayName="VICHADA" ref="CG1:CG5" totalsRowShown="0" headerRowDxfId="9" tableBorderDxfId="8">
  <autoFilter ref="CG1:CG5" xr:uid="{6F34F047-E20F-4472-A608-754D389847B2}"/>
  <tableColumns count="1">
    <tableColumn id="1" xr3:uid="{A845B0CB-3A90-475A-8DDE-DE2972E65FB9}" name="VICHADA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2348DF3D-6B0B-437E-AE27-0DC2A3CDBD14}" name="REGIONES" displayName="REGIONES" ref="G1:G7" totalsRowShown="0" headerRowDxfId="7">
  <autoFilter ref="G1:G7" xr:uid="{2348DF3D-6B0B-437E-AE27-0DC2A3CDBD14}"/>
  <tableColumns count="1">
    <tableColumn id="1" xr3:uid="{A6373A22-57DA-40F8-8869-9FA4556F6FB0}" name="REGIONES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822D1340-E54B-4A64-9FF2-306E81972E95}" name="Tabla45" displayName="Tabla45" ref="CI1:CI11" totalsRowShown="0" headerRowDxfId="6">
  <autoFilter ref="CI1:CI11" xr:uid="{822D1340-E54B-4A64-9FF2-306E81972E95}"/>
  <tableColumns count="1">
    <tableColumn id="1" xr3:uid="{28EADE1B-7374-4BE9-946A-2786B7511210}" name="TIPO DE IDENTIFICACION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8844CBF-8213-4D67-BE38-5A21665598ED}" name="Tabla47" displayName="Tabla47" ref="CN1:CO23" totalsRowShown="0" tableBorderDxfId="5">
  <autoFilter ref="CN1:CO23" xr:uid="{E8844CBF-8213-4D67-BE38-5A21665598ED}"/>
  <tableColumns count="2">
    <tableColumn id="1" xr3:uid="{691F7E66-53F2-489B-BE4F-D9399576BCFC}" name="TIEMPO _x000a_Participación efectiva y continuada en las actividades de voluntariado)" dataDxfId="4"/>
    <tableColumn id="2" xr3:uid="{78A2A447-30DD-4B5C-8EA9-42225FAAB6A9}" name="PUNTAJE" dataDxfId="3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8A306CC2-D6B8-425A-88D1-022AF958862B}" name="Tabla4751" displayName="Tabla4751" ref="CK25:CL47" totalsRowShown="0" tableBorderDxfId="2">
  <autoFilter ref="CK25:CL47" xr:uid="{8A306CC2-D6B8-425A-88D1-022AF958862B}"/>
  <tableColumns count="2">
    <tableColumn id="1" xr3:uid="{599F69D0-25D5-488F-8032-5331D3D6B1A6}" name="TIEMPO _x000a_Participación efectiva y continuada en las actividades de voluntariado)" dataDxfId="1"/>
    <tableColumn id="2" xr3:uid="{2ADE0735-4CDA-4475-84E6-58E94E132988}" name="PUNTAJ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teorocha@ya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4.xml"/><Relationship Id="rId18" Type="http://schemas.openxmlformats.org/officeDocument/2006/relationships/table" Target="../tables/table19.xml"/><Relationship Id="rId26" Type="http://schemas.openxmlformats.org/officeDocument/2006/relationships/table" Target="../tables/table27.xml"/><Relationship Id="rId39" Type="http://schemas.openxmlformats.org/officeDocument/2006/relationships/table" Target="../tables/table40.xml"/><Relationship Id="rId21" Type="http://schemas.openxmlformats.org/officeDocument/2006/relationships/table" Target="../tables/table22.xml"/><Relationship Id="rId34" Type="http://schemas.openxmlformats.org/officeDocument/2006/relationships/table" Target="../tables/table35.xml"/><Relationship Id="rId42" Type="http://schemas.openxmlformats.org/officeDocument/2006/relationships/table" Target="../tables/table43.xml"/><Relationship Id="rId47" Type="http://schemas.openxmlformats.org/officeDocument/2006/relationships/table" Target="../tables/table48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6" Type="http://schemas.openxmlformats.org/officeDocument/2006/relationships/table" Target="../tables/table17.xml"/><Relationship Id="rId29" Type="http://schemas.openxmlformats.org/officeDocument/2006/relationships/table" Target="../tables/table30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24" Type="http://schemas.openxmlformats.org/officeDocument/2006/relationships/table" Target="../tables/table25.xml"/><Relationship Id="rId32" Type="http://schemas.openxmlformats.org/officeDocument/2006/relationships/table" Target="../tables/table33.xml"/><Relationship Id="rId37" Type="http://schemas.openxmlformats.org/officeDocument/2006/relationships/table" Target="../tables/table38.xml"/><Relationship Id="rId40" Type="http://schemas.openxmlformats.org/officeDocument/2006/relationships/table" Target="../tables/table41.xml"/><Relationship Id="rId45" Type="http://schemas.openxmlformats.org/officeDocument/2006/relationships/table" Target="../tables/table46.xml"/><Relationship Id="rId5" Type="http://schemas.openxmlformats.org/officeDocument/2006/relationships/table" Target="../tables/table6.xml"/><Relationship Id="rId15" Type="http://schemas.openxmlformats.org/officeDocument/2006/relationships/table" Target="../tables/table16.xml"/><Relationship Id="rId23" Type="http://schemas.openxmlformats.org/officeDocument/2006/relationships/table" Target="../tables/table24.xml"/><Relationship Id="rId28" Type="http://schemas.openxmlformats.org/officeDocument/2006/relationships/table" Target="../tables/table29.xml"/><Relationship Id="rId36" Type="http://schemas.openxmlformats.org/officeDocument/2006/relationships/table" Target="../tables/table37.xml"/><Relationship Id="rId10" Type="http://schemas.openxmlformats.org/officeDocument/2006/relationships/table" Target="../tables/table11.xml"/><Relationship Id="rId19" Type="http://schemas.openxmlformats.org/officeDocument/2006/relationships/table" Target="../tables/table20.xml"/><Relationship Id="rId31" Type="http://schemas.openxmlformats.org/officeDocument/2006/relationships/table" Target="../tables/table32.xml"/><Relationship Id="rId44" Type="http://schemas.openxmlformats.org/officeDocument/2006/relationships/table" Target="../tables/table45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Relationship Id="rId14" Type="http://schemas.openxmlformats.org/officeDocument/2006/relationships/table" Target="../tables/table15.xml"/><Relationship Id="rId22" Type="http://schemas.openxmlformats.org/officeDocument/2006/relationships/table" Target="../tables/table23.xml"/><Relationship Id="rId27" Type="http://schemas.openxmlformats.org/officeDocument/2006/relationships/table" Target="../tables/table28.xml"/><Relationship Id="rId30" Type="http://schemas.openxmlformats.org/officeDocument/2006/relationships/table" Target="../tables/table31.xml"/><Relationship Id="rId35" Type="http://schemas.openxmlformats.org/officeDocument/2006/relationships/table" Target="../tables/table36.xml"/><Relationship Id="rId43" Type="http://schemas.openxmlformats.org/officeDocument/2006/relationships/table" Target="../tables/table44.xml"/><Relationship Id="rId48" Type="http://schemas.openxmlformats.org/officeDocument/2006/relationships/table" Target="../tables/table49.xml"/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12" Type="http://schemas.openxmlformats.org/officeDocument/2006/relationships/table" Target="../tables/table13.xml"/><Relationship Id="rId17" Type="http://schemas.openxmlformats.org/officeDocument/2006/relationships/table" Target="../tables/table18.xml"/><Relationship Id="rId25" Type="http://schemas.openxmlformats.org/officeDocument/2006/relationships/table" Target="../tables/table26.xml"/><Relationship Id="rId33" Type="http://schemas.openxmlformats.org/officeDocument/2006/relationships/table" Target="../tables/table34.xml"/><Relationship Id="rId38" Type="http://schemas.openxmlformats.org/officeDocument/2006/relationships/table" Target="../tables/table39.xml"/><Relationship Id="rId46" Type="http://schemas.openxmlformats.org/officeDocument/2006/relationships/table" Target="../tables/table47.xml"/><Relationship Id="rId20" Type="http://schemas.openxmlformats.org/officeDocument/2006/relationships/table" Target="../tables/table21.xml"/><Relationship Id="rId41" Type="http://schemas.openxmlformats.org/officeDocument/2006/relationships/table" Target="../tables/table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BA075-4372-4D3B-B91C-7941F88FCEA8}">
  <dimension ref="A1:AI1102"/>
  <sheetViews>
    <sheetView tabSelected="1" zoomScale="70" zoomScaleNormal="70" workbookViewId="0">
      <selection activeCell="D5" sqref="D5"/>
    </sheetView>
  </sheetViews>
  <sheetFormatPr baseColWidth="10" defaultRowHeight="14.4" x14ac:dyDescent="0.3"/>
  <cols>
    <col min="1" max="1" width="20.88671875" customWidth="1"/>
    <col min="2" max="2" width="14" customWidth="1"/>
    <col min="3" max="3" width="16.109375" customWidth="1"/>
    <col min="4" max="4" width="25.88671875" style="34" customWidth="1"/>
    <col min="5" max="5" width="30.6640625" customWidth="1"/>
    <col min="6" max="6" width="32.6640625" style="1" customWidth="1"/>
    <col min="7" max="7" width="36" style="1" customWidth="1"/>
    <col min="8" max="8" width="32.44140625" customWidth="1"/>
    <col min="9" max="9" width="21.88671875" style="135" customWidth="1"/>
    <col min="10" max="10" width="29.5546875" style="1" customWidth="1"/>
    <col min="11" max="11" width="18.6640625" style="1" customWidth="1"/>
    <col min="12" max="13" width="29.88671875" style="1" customWidth="1"/>
    <col min="14" max="14" width="88.5546875" style="5" customWidth="1"/>
    <col min="15" max="15" width="11.6640625" style="1" customWidth="1"/>
    <col min="16" max="16" width="21.44140625" style="1" customWidth="1"/>
    <col min="17" max="17" width="20.6640625" style="1" customWidth="1"/>
    <col min="18" max="18" width="15.5546875" style="1" customWidth="1"/>
    <col min="19" max="19" width="28" style="1" customWidth="1"/>
    <col min="20" max="20" width="11.5546875" style="1"/>
    <col min="21" max="21" width="42.88671875" style="1" customWidth="1"/>
    <col min="22" max="22" width="11.77734375" style="1" customWidth="1"/>
    <col min="23" max="23" width="49.33203125" style="1" customWidth="1"/>
    <col min="24" max="24" width="11.6640625" style="1" customWidth="1"/>
    <col min="25" max="25" width="14" style="96" customWidth="1"/>
    <col min="26" max="27" width="37.77734375" style="1" customWidth="1"/>
    <col min="28" max="28" width="4.88671875" customWidth="1"/>
    <col min="29" max="29" width="47.77734375" style="1" hidden="1" customWidth="1"/>
    <col min="30" max="30" width="10.33203125" style="1" hidden="1" customWidth="1"/>
    <col min="31" max="31" width="58.21875" style="1" hidden="1" customWidth="1"/>
    <col min="32" max="32" width="10.109375" style="1" hidden="1" customWidth="1"/>
    <col min="33" max="33" width="11.5546875" hidden="1" customWidth="1"/>
    <col min="34" max="34" width="31" hidden="1" customWidth="1"/>
    <col min="35" max="35" width="11.5546875" hidden="1" customWidth="1"/>
    <col min="36" max="36" width="11.5546875" customWidth="1"/>
  </cols>
  <sheetData>
    <row r="1" spans="1:35" ht="48.75" customHeight="1" x14ac:dyDescent="0.6">
      <c r="A1" s="149" t="s">
        <v>21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C1"/>
      <c r="AE1"/>
      <c r="AF1"/>
    </row>
    <row r="2" spans="1:35" ht="43.2" customHeight="1" x14ac:dyDescent="0.3">
      <c r="A2" s="160" t="s">
        <v>22</v>
      </c>
      <c r="B2" s="160"/>
      <c r="C2" s="160"/>
      <c r="D2" s="160"/>
      <c r="E2" s="160"/>
      <c r="F2" s="157" t="s">
        <v>1110</v>
      </c>
      <c r="G2" s="158"/>
      <c r="H2" s="158"/>
      <c r="I2" s="159"/>
      <c r="J2" s="160" t="s">
        <v>23</v>
      </c>
      <c r="K2" s="160"/>
      <c r="L2" s="160"/>
      <c r="M2" s="102"/>
      <c r="N2" s="157" t="s">
        <v>24</v>
      </c>
      <c r="O2" s="158"/>
      <c r="P2" s="158"/>
      <c r="Q2" s="158"/>
      <c r="R2" s="159"/>
      <c r="S2" s="157" t="s">
        <v>1248</v>
      </c>
      <c r="T2" s="158"/>
      <c r="U2" s="151" t="s">
        <v>1204</v>
      </c>
      <c r="V2" s="152"/>
      <c r="W2" s="152"/>
      <c r="X2" s="153"/>
      <c r="Y2" s="94"/>
      <c r="Z2" s="157" t="s">
        <v>43</v>
      </c>
      <c r="AA2" s="159"/>
      <c r="AC2" s="151" t="s">
        <v>27</v>
      </c>
      <c r="AD2" s="152"/>
      <c r="AE2" s="152"/>
      <c r="AF2" s="153"/>
    </row>
    <row r="3" spans="1:35" ht="55.2" customHeight="1" x14ac:dyDescent="0.3">
      <c r="A3" s="100" t="s">
        <v>1200</v>
      </c>
      <c r="B3" s="100" t="s">
        <v>46</v>
      </c>
      <c r="C3" s="100" t="s">
        <v>1208</v>
      </c>
      <c r="D3" s="100" t="s">
        <v>1201</v>
      </c>
      <c r="E3" s="100" t="s">
        <v>1209</v>
      </c>
      <c r="F3" s="101" t="s">
        <v>1202</v>
      </c>
      <c r="G3" s="101" t="s">
        <v>1203</v>
      </c>
      <c r="H3" s="100" t="s">
        <v>1210</v>
      </c>
      <c r="I3" s="131" t="s">
        <v>1199</v>
      </c>
      <c r="J3" s="101" t="s">
        <v>1211</v>
      </c>
      <c r="K3" s="101" t="s">
        <v>1212</v>
      </c>
      <c r="L3" s="101" t="s">
        <v>1213</v>
      </c>
      <c r="M3" s="101" t="s">
        <v>1214</v>
      </c>
      <c r="N3" s="100" t="s">
        <v>1228</v>
      </c>
      <c r="O3" s="100" t="s">
        <v>18</v>
      </c>
      <c r="P3" s="101" t="s">
        <v>1205</v>
      </c>
      <c r="Q3" s="101" t="s">
        <v>1206</v>
      </c>
      <c r="R3" s="100" t="s">
        <v>1207</v>
      </c>
      <c r="S3" s="124" t="s">
        <v>1230</v>
      </c>
      <c r="T3" s="125" t="s">
        <v>18</v>
      </c>
      <c r="U3" s="97" t="s">
        <v>1198</v>
      </c>
      <c r="V3" s="98" t="s">
        <v>18</v>
      </c>
      <c r="W3" s="97" t="s">
        <v>1197</v>
      </c>
      <c r="X3" s="98" t="s">
        <v>18</v>
      </c>
      <c r="Y3" s="99" t="s">
        <v>1111</v>
      </c>
      <c r="Z3" s="101" t="s">
        <v>1215</v>
      </c>
      <c r="AA3" s="101" t="s">
        <v>1216</v>
      </c>
      <c r="AC3" s="154" t="s">
        <v>19</v>
      </c>
      <c r="AD3" s="155" t="s">
        <v>18</v>
      </c>
      <c r="AE3" s="154" t="s">
        <v>45</v>
      </c>
      <c r="AF3" s="156" t="s">
        <v>18</v>
      </c>
      <c r="AH3" s="26" t="s">
        <v>28</v>
      </c>
      <c r="AI3" t="s">
        <v>46</v>
      </c>
    </row>
    <row r="4" spans="1:35" ht="39.6" customHeight="1" x14ac:dyDescent="0.3">
      <c r="A4" s="80" t="s">
        <v>1091</v>
      </c>
      <c r="B4" s="80" t="s">
        <v>47</v>
      </c>
      <c r="C4" s="80" t="s">
        <v>1102</v>
      </c>
      <c r="D4" s="80" t="s">
        <v>174</v>
      </c>
      <c r="E4" s="80" t="s">
        <v>175</v>
      </c>
      <c r="F4" s="80"/>
      <c r="G4" s="80"/>
      <c r="H4" s="25"/>
      <c r="I4" s="132"/>
      <c r="J4" s="130"/>
      <c r="K4" s="130">
        <v>3104303845</v>
      </c>
      <c r="L4" s="138" t="s">
        <v>1241</v>
      </c>
      <c r="M4" s="130" t="s">
        <v>1244</v>
      </c>
      <c r="N4" s="83" t="s">
        <v>1245</v>
      </c>
      <c r="O4" s="80">
        <f>IF(N4="","",VLOOKUP(N4,ROLES!B:C,2,FALSE))</f>
        <v>4.5999999999999996</v>
      </c>
      <c r="P4" s="86">
        <v>44948</v>
      </c>
      <c r="Q4" s="86">
        <v>46098</v>
      </c>
      <c r="R4" s="16">
        <f t="shared" ref="R4:R5" si="0">DATEDIF(P4,Q4,"m")</f>
        <v>37</v>
      </c>
      <c r="S4" s="16" t="s">
        <v>1237</v>
      </c>
      <c r="T4" s="80">
        <f>IF(S4="","",VLOOKUP(S4,VALORACION!F:G,2,FALSE))</f>
        <v>4</v>
      </c>
      <c r="U4" s="11" t="s">
        <v>1</v>
      </c>
      <c r="V4" s="80">
        <f>IF(U4="","",VLOOKUP(U4,ROLES!G:H,2,FALSE))</f>
        <v>9</v>
      </c>
      <c r="W4" s="11" t="s">
        <v>16</v>
      </c>
      <c r="X4" s="80">
        <f>IF(W4="","",VLOOKUP(W4,ROLES!I:J,2,FALSE))</f>
        <v>9</v>
      </c>
      <c r="Y4" s="95">
        <f>(VALUE(O4)+VALUE(V4)+VALUE(X4)+VALUE(T4))/3</f>
        <v>8.8666666666666671</v>
      </c>
      <c r="Z4" s="80" t="s">
        <v>1242</v>
      </c>
      <c r="AA4" s="80" t="s">
        <v>1243</v>
      </c>
      <c r="AC4" s="154"/>
      <c r="AD4" s="155"/>
      <c r="AE4" s="154"/>
      <c r="AF4" s="156"/>
      <c r="AH4" t="s">
        <v>32</v>
      </c>
      <c r="AI4" t="s">
        <v>31</v>
      </c>
    </row>
    <row r="5" spans="1:35" ht="28.95" customHeight="1" x14ac:dyDescent="0.3">
      <c r="A5" s="80" t="s">
        <v>1091</v>
      </c>
      <c r="B5" s="80" t="s">
        <v>47</v>
      </c>
      <c r="C5" s="80"/>
      <c r="D5" s="80"/>
      <c r="E5" s="80"/>
      <c r="F5" s="80"/>
      <c r="G5" s="80"/>
      <c r="H5" s="25"/>
      <c r="I5" s="132"/>
      <c r="J5" s="130"/>
      <c r="K5" s="130"/>
      <c r="L5" s="130"/>
      <c r="M5" s="130"/>
      <c r="N5" s="83"/>
      <c r="O5" s="80" t="str">
        <f>IF(N5="","",VLOOKUP(N5,ROLES!B:C,2,FALSE))</f>
        <v/>
      </c>
      <c r="P5" s="86"/>
      <c r="Q5" s="86"/>
      <c r="R5" s="16">
        <f t="shared" si="0"/>
        <v>0</v>
      </c>
      <c r="S5" s="16"/>
      <c r="T5" s="80" t="str">
        <f>IF(S5="","",VLOOKUP(S5,VALORACION!F:G,2,FALSE))</f>
        <v/>
      </c>
      <c r="U5" s="11"/>
      <c r="V5" s="80" t="str">
        <f>IF(U5="","",VLOOKUP(U5,ROLES!G:H,2,FALSE))</f>
        <v/>
      </c>
      <c r="W5" s="11"/>
      <c r="X5" s="80" t="str">
        <f>IF(W5="","",VLOOKUP(W5,ROLES!I:J,2,FALSE))</f>
        <v/>
      </c>
      <c r="Y5" s="95" t="e">
        <f t="shared" ref="Y5:Y68" si="1">(VALUE(O5)+VALUE(V5)+VALUE(X5)+VALUE(T5))/3</f>
        <v>#VALUE!</v>
      </c>
      <c r="Z5" s="80"/>
      <c r="AA5" s="80"/>
      <c r="AC5" s="154"/>
      <c r="AD5" s="155"/>
      <c r="AE5" s="154"/>
      <c r="AF5" s="156"/>
      <c r="AH5" t="s">
        <v>33</v>
      </c>
      <c r="AI5" t="s">
        <v>41</v>
      </c>
    </row>
    <row r="6" spans="1:35" ht="28.95" customHeight="1" x14ac:dyDescent="0.3">
      <c r="A6" s="89"/>
      <c r="B6" s="90"/>
      <c r="C6" s="80"/>
      <c r="D6" s="90"/>
      <c r="E6" s="80"/>
      <c r="F6" s="6"/>
      <c r="G6" s="6"/>
      <c r="H6" s="25"/>
      <c r="I6" s="133"/>
      <c r="J6" s="6"/>
      <c r="K6" s="6"/>
      <c r="L6" s="6"/>
      <c r="M6" s="6"/>
      <c r="N6" s="84"/>
      <c r="O6" s="80" t="str">
        <f>IF(N6="","",VLOOKUP(N6,ROLES!B:C,2,FALSE))</f>
        <v/>
      </c>
      <c r="P6" s="15"/>
      <c r="Q6" s="15"/>
      <c r="R6" s="16">
        <f>DATEDIF(P6,Q6,"m")</f>
        <v>0</v>
      </c>
      <c r="S6" s="16"/>
      <c r="T6" s="80" t="str">
        <f>IF(S6="","",VLOOKUP(S6,VALORACION!F:G,2,FALSE))</f>
        <v/>
      </c>
      <c r="U6" s="11"/>
      <c r="V6" s="80" t="str">
        <f>IF(U6="","",VLOOKUP(U6,ROLES!G:H,2,FALSE))</f>
        <v/>
      </c>
      <c r="W6" s="11"/>
      <c r="X6" s="80" t="str">
        <f>IF(W6="","",VLOOKUP(W6,ROLES!I:J,2,FALSE))</f>
        <v/>
      </c>
      <c r="Y6" s="95" t="e">
        <f t="shared" si="1"/>
        <v>#VALUE!</v>
      </c>
      <c r="Z6" s="4"/>
      <c r="AA6" s="4"/>
      <c r="AC6" s="9" t="s">
        <v>0</v>
      </c>
      <c r="AD6" s="17">
        <v>10</v>
      </c>
      <c r="AE6" s="19" t="s">
        <v>17</v>
      </c>
      <c r="AF6" s="20">
        <v>10</v>
      </c>
      <c r="AH6" t="s">
        <v>29</v>
      </c>
      <c r="AI6" t="s">
        <v>34</v>
      </c>
    </row>
    <row r="7" spans="1:35" ht="28.95" customHeight="1" x14ac:dyDescent="0.3">
      <c r="A7" s="91"/>
      <c r="B7" s="92"/>
      <c r="C7" s="80"/>
      <c r="D7" s="88"/>
      <c r="E7" s="80"/>
      <c r="F7" s="4"/>
      <c r="G7" s="4"/>
      <c r="H7" s="25"/>
      <c r="I7" s="16"/>
      <c r="J7" s="4"/>
      <c r="K7" s="4"/>
      <c r="L7" s="139"/>
      <c r="M7" s="139"/>
      <c r="N7" s="81"/>
      <c r="O7" s="80" t="str">
        <f>IF(N7="","",VLOOKUP(N7,ROLES!B:C,2,FALSE))</f>
        <v/>
      </c>
      <c r="P7" s="15"/>
      <c r="Q7" s="15"/>
      <c r="R7" s="16">
        <f t="shared" ref="R7:R70" si="2">DATEDIF(P7,Q7,"m")</f>
        <v>0</v>
      </c>
      <c r="S7" s="16"/>
      <c r="T7" s="80" t="str">
        <f>IF(S7="","",VLOOKUP(S7,VALORACION!F:G,2,FALSE))</f>
        <v/>
      </c>
      <c r="U7" s="11"/>
      <c r="V7" s="80" t="str">
        <f>IF(U7="","",VLOOKUP(U7,ROLES!G:H,2,FALSE))</f>
        <v/>
      </c>
      <c r="W7" s="11"/>
      <c r="X7" s="80" t="str">
        <f>IF(W7="","",VLOOKUP(W7,ROLES!I:J,2,FALSE))</f>
        <v/>
      </c>
      <c r="Y7" s="95" t="e">
        <f t="shared" si="1"/>
        <v>#VALUE!</v>
      </c>
      <c r="Z7" s="4"/>
      <c r="AA7" s="4"/>
      <c r="AC7" s="9" t="s">
        <v>1</v>
      </c>
      <c r="AD7" s="17">
        <v>9</v>
      </c>
      <c r="AE7" s="21" t="s">
        <v>16</v>
      </c>
      <c r="AF7" s="23">
        <v>9</v>
      </c>
      <c r="AH7" t="s">
        <v>35</v>
      </c>
      <c r="AI7" t="s">
        <v>36</v>
      </c>
    </row>
    <row r="8" spans="1:35" ht="28.95" customHeight="1" x14ac:dyDescent="0.3">
      <c r="A8" s="92"/>
      <c r="B8" s="92"/>
      <c r="C8" s="80"/>
      <c r="D8" s="91"/>
      <c r="E8" s="80"/>
      <c r="F8" s="4"/>
      <c r="G8" s="4"/>
      <c r="H8" s="25"/>
      <c r="I8" s="16"/>
      <c r="J8" s="4"/>
      <c r="K8" s="4"/>
      <c r="L8" s="139"/>
      <c r="M8" s="139"/>
      <c r="N8" s="81"/>
      <c r="O8" s="80" t="str">
        <f>IF(N8="","",VLOOKUP(N8,ROLES!B:C,2,FALSE))</f>
        <v/>
      </c>
      <c r="P8" s="15"/>
      <c r="Q8" s="15"/>
      <c r="R8" s="16">
        <f t="shared" si="2"/>
        <v>0</v>
      </c>
      <c r="S8" s="16"/>
      <c r="T8" s="80" t="str">
        <f>IF(S8="","",VLOOKUP(S8,VALORACION!F:G,2,FALSE))</f>
        <v/>
      </c>
      <c r="U8" s="11"/>
      <c r="V8" s="80" t="str">
        <f>IF(U8="","",VLOOKUP(U8,ROLES!G:H,2,FALSE))</f>
        <v/>
      </c>
      <c r="W8" s="11"/>
      <c r="X8" s="80" t="str">
        <f>IF(W8="","",VLOOKUP(W8,ROLES!I:J,2,FALSE))</f>
        <v/>
      </c>
      <c r="Y8" s="95" t="e">
        <f t="shared" si="1"/>
        <v>#VALUE!</v>
      </c>
      <c r="Z8" s="4"/>
      <c r="AA8" s="4"/>
      <c r="AC8" s="9" t="s">
        <v>2</v>
      </c>
      <c r="AD8" s="17">
        <v>8</v>
      </c>
      <c r="AE8" s="21" t="s">
        <v>15</v>
      </c>
      <c r="AF8" s="23">
        <v>8</v>
      </c>
      <c r="AH8" t="s">
        <v>30</v>
      </c>
      <c r="AI8" t="s">
        <v>37</v>
      </c>
    </row>
    <row r="9" spans="1:35" ht="28.95" customHeight="1" x14ac:dyDescent="0.3">
      <c r="A9" s="92"/>
      <c r="B9" s="92"/>
      <c r="C9" s="80"/>
      <c r="D9" s="88"/>
      <c r="E9" s="80"/>
      <c r="F9" s="4"/>
      <c r="G9" s="4"/>
      <c r="H9" s="25"/>
      <c r="I9" s="16"/>
      <c r="J9" s="4"/>
      <c r="K9" s="4"/>
      <c r="L9" s="139"/>
      <c r="M9" s="139"/>
      <c r="N9" s="81"/>
      <c r="O9" s="80" t="str">
        <f>IF(N9="","",VLOOKUP(N9,ROLES!B:C,2,FALSE))</f>
        <v/>
      </c>
      <c r="P9" s="15"/>
      <c r="Q9" s="15"/>
      <c r="R9" s="16">
        <f t="shared" si="2"/>
        <v>0</v>
      </c>
      <c r="S9" s="16"/>
      <c r="T9" s="80" t="str">
        <f>IF(S9="","",VLOOKUP(S9,VALORACION!F:G,2,FALSE))</f>
        <v/>
      </c>
      <c r="U9" s="11"/>
      <c r="V9" s="80" t="str">
        <f>IF(U9="","",VLOOKUP(U9,ROLES!G:H,2,FALSE))</f>
        <v/>
      </c>
      <c r="W9" s="11"/>
      <c r="X9" s="80" t="str">
        <f>IF(W9="","",VLOOKUP(W9,ROLES!I:J,2,FALSE))</f>
        <v/>
      </c>
      <c r="Y9" s="95" t="e">
        <f t="shared" si="1"/>
        <v>#VALUE!</v>
      </c>
      <c r="Z9" s="4"/>
      <c r="AA9" s="4"/>
      <c r="AC9" s="9" t="s">
        <v>3</v>
      </c>
      <c r="AD9" s="17">
        <v>7</v>
      </c>
      <c r="AE9" s="21" t="s">
        <v>14</v>
      </c>
      <c r="AF9" s="23">
        <v>7</v>
      </c>
      <c r="AH9" t="s">
        <v>38</v>
      </c>
      <c r="AI9" t="s">
        <v>39</v>
      </c>
    </row>
    <row r="10" spans="1:35" ht="28.95" customHeight="1" x14ac:dyDescent="0.3">
      <c r="A10" s="92"/>
      <c r="B10" s="92"/>
      <c r="C10" s="80"/>
      <c r="D10" s="88"/>
      <c r="E10" s="80"/>
      <c r="F10" s="4"/>
      <c r="G10" s="4"/>
      <c r="H10" s="25"/>
      <c r="I10" s="16"/>
      <c r="J10" s="4"/>
      <c r="K10" s="4"/>
      <c r="L10" s="139"/>
      <c r="M10" s="139"/>
      <c r="N10" s="81"/>
      <c r="O10" s="80" t="str">
        <f>IF(N10="","",VLOOKUP(N10,ROLES!B:C,2,FALSE))</f>
        <v/>
      </c>
      <c r="P10" s="15"/>
      <c r="Q10" s="15"/>
      <c r="R10" s="16">
        <f t="shared" si="2"/>
        <v>0</v>
      </c>
      <c r="S10" s="16"/>
      <c r="T10" s="80" t="str">
        <f>IF(S10="","",VLOOKUP(S10,VALORACION!F:G,2,FALSE))</f>
        <v/>
      </c>
      <c r="U10" s="11"/>
      <c r="V10" s="80" t="str">
        <f>IF(U10="","",VLOOKUP(U10,ROLES!G:H,2,FALSE))</f>
        <v/>
      </c>
      <c r="W10" s="11"/>
      <c r="X10" s="80" t="str">
        <f>IF(W10="","",VLOOKUP(W10,ROLES!I:J,2,FALSE))</f>
        <v/>
      </c>
      <c r="Y10" s="95" t="e">
        <f t="shared" si="1"/>
        <v>#VALUE!</v>
      </c>
      <c r="Z10" s="4"/>
      <c r="AA10" s="4"/>
      <c r="AC10" s="9" t="s">
        <v>4</v>
      </c>
      <c r="AD10" s="17">
        <v>6</v>
      </c>
      <c r="AE10" s="21" t="s">
        <v>13</v>
      </c>
      <c r="AF10" s="23">
        <v>6</v>
      </c>
      <c r="AH10" t="s">
        <v>40</v>
      </c>
      <c r="AI10" t="s">
        <v>42</v>
      </c>
    </row>
    <row r="11" spans="1:35" ht="28.95" customHeight="1" x14ac:dyDescent="0.3">
      <c r="A11" s="92"/>
      <c r="B11" s="92"/>
      <c r="C11" s="80"/>
      <c r="D11" s="88"/>
      <c r="E11" s="80"/>
      <c r="F11" s="4"/>
      <c r="G11" s="4"/>
      <c r="H11" s="25"/>
      <c r="I11" s="16"/>
      <c r="J11" s="4"/>
      <c r="K11" s="4"/>
      <c r="L11" s="139"/>
      <c r="M11" s="139"/>
      <c r="N11" s="81"/>
      <c r="O11" s="80" t="str">
        <f>IF(N11="","",VLOOKUP(N11,ROLES!B:C,2,FALSE))</f>
        <v/>
      </c>
      <c r="P11" s="15"/>
      <c r="Q11" s="15"/>
      <c r="R11" s="16">
        <f t="shared" si="2"/>
        <v>0</v>
      </c>
      <c r="S11" s="16"/>
      <c r="T11" s="80" t="str">
        <f>IF(S11="","",VLOOKUP(S11,VALORACION!F:G,2,FALSE))</f>
        <v/>
      </c>
      <c r="U11" s="11"/>
      <c r="V11" s="80" t="str">
        <f>IF(U11="","",VLOOKUP(U11,ROLES!G:H,2,FALSE))</f>
        <v/>
      </c>
      <c r="W11" s="11"/>
      <c r="X11" s="80" t="str">
        <f>IF(W11="","",VLOOKUP(W11,ROLES!I:J,2,FALSE))</f>
        <v/>
      </c>
      <c r="Y11" s="95" t="e">
        <f t="shared" si="1"/>
        <v>#VALUE!</v>
      </c>
      <c r="Z11" s="4"/>
      <c r="AA11" s="4"/>
      <c r="AC11" s="9" t="s">
        <v>5</v>
      </c>
      <c r="AD11" s="17">
        <v>5</v>
      </c>
      <c r="AE11" s="21" t="s">
        <v>12</v>
      </c>
      <c r="AF11" s="23">
        <v>5</v>
      </c>
    </row>
    <row r="12" spans="1:35" ht="28.95" customHeight="1" x14ac:dyDescent="0.3">
      <c r="A12" s="92"/>
      <c r="B12" s="92"/>
      <c r="C12" s="80"/>
      <c r="D12" s="88"/>
      <c r="E12" s="80"/>
      <c r="F12" s="4"/>
      <c r="G12" s="4"/>
      <c r="H12" s="25"/>
      <c r="I12" s="16"/>
      <c r="J12" s="4"/>
      <c r="K12" s="4"/>
      <c r="L12" s="139"/>
      <c r="M12" s="139"/>
      <c r="N12" s="81"/>
      <c r="O12" s="80" t="str">
        <f>IF(N12="","",VLOOKUP(N12,ROLES!B:C,2,FALSE))</f>
        <v/>
      </c>
      <c r="P12" s="15"/>
      <c r="Q12" s="15"/>
      <c r="R12" s="16">
        <f t="shared" si="2"/>
        <v>0</v>
      </c>
      <c r="S12" s="16"/>
      <c r="T12" s="80" t="str">
        <f>IF(S12="","",VLOOKUP(S12,VALORACION!F:G,2,FALSE))</f>
        <v/>
      </c>
      <c r="U12" s="11"/>
      <c r="V12" s="80" t="str">
        <f>IF(U12="","",VLOOKUP(U12,ROLES!G:H,2,FALSE))</f>
        <v/>
      </c>
      <c r="W12" s="11"/>
      <c r="X12" s="80" t="str">
        <f>IF(W12="","",VLOOKUP(W12,ROLES!I:J,2,FALSE))</f>
        <v/>
      </c>
      <c r="Y12" s="95" t="e">
        <f t="shared" si="1"/>
        <v>#VALUE!</v>
      </c>
      <c r="Z12" s="4"/>
      <c r="AA12" s="4"/>
      <c r="AC12" s="9" t="s">
        <v>6</v>
      </c>
      <c r="AD12" s="17">
        <v>4</v>
      </c>
      <c r="AE12" s="21" t="s">
        <v>11</v>
      </c>
      <c r="AF12" s="23">
        <v>4</v>
      </c>
    </row>
    <row r="13" spans="1:35" ht="28.95" customHeight="1" x14ac:dyDescent="0.3">
      <c r="A13" s="92"/>
      <c r="B13" s="92"/>
      <c r="C13" s="80"/>
      <c r="D13" s="88"/>
      <c r="E13" s="80"/>
      <c r="F13" s="4"/>
      <c r="G13" s="4"/>
      <c r="H13" s="25"/>
      <c r="I13" s="16"/>
      <c r="J13" s="4"/>
      <c r="K13" s="4"/>
      <c r="L13" s="139"/>
      <c r="M13" s="139"/>
      <c r="N13" s="81"/>
      <c r="O13" s="80" t="str">
        <f>IF(N13="","",VLOOKUP(N13,ROLES!B:C,2,FALSE))</f>
        <v/>
      </c>
      <c r="P13" s="15"/>
      <c r="Q13" s="15"/>
      <c r="R13" s="16">
        <f t="shared" si="2"/>
        <v>0</v>
      </c>
      <c r="S13" s="16"/>
      <c r="T13" s="80" t="str">
        <f>IF(S13="","",VLOOKUP(S13,VALORACION!F:G,2,FALSE))</f>
        <v/>
      </c>
      <c r="U13" s="11"/>
      <c r="V13" s="80" t="str">
        <f>IF(U13="","",VLOOKUP(U13,ROLES!G:H,2,FALSE))</f>
        <v/>
      </c>
      <c r="W13" s="11"/>
      <c r="X13" s="80" t="str">
        <f>IF(W13="","",VLOOKUP(W13,ROLES!I:J,2,FALSE))</f>
        <v/>
      </c>
      <c r="Y13" s="95" t="e">
        <f t="shared" si="1"/>
        <v>#VALUE!</v>
      </c>
      <c r="Z13" s="4"/>
      <c r="AA13" s="4"/>
      <c r="AC13" s="9" t="s">
        <v>7</v>
      </c>
      <c r="AD13" s="17">
        <v>3</v>
      </c>
      <c r="AE13" s="21" t="s">
        <v>10</v>
      </c>
      <c r="AF13" s="23">
        <v>3</v>
      </c>
    </row>
    <row r="14" spans="1:35" ht="28.95" customHeight="1" x14ac:dyDescent="0.3">
      <c r="A14" s="92"/>
      <c r="B14" s="92"/>
      <c r="C14" s="80"/>
      <c r="D14" s="88"/>
      <c r="E14" s="80"/>
      <c r="F14" s="4"/>
      <c r="G14" s="4"/>
      <c r="H14" s="25"/>
      <c r="I14" s="16"/>
      <c r="J14" s="4"/>
      <c r="K14" s="4"/>
      <c r="L14" s="139"/>
      <c r="M14" s="139"/>
      <c r="N14" s="81"/>
      <c r="O14" s="80" t="str">
        <f>IF(N14="","",VLOOKUP(N14,ROLES!B:C,2,FALSE))</f>
        <v/>
      </c>
      <c r="P14" s="15"/>
      <c r="Q14" s="15"/>
      <c r="R14" s="16">
        <f t="shared" si="2"/>
        <v>0</v>
      </c>
      <c r="S14" s="16"/>
      <c r="T14" s="80" t="str">
        <f>IF(S14="","",VLOOKUP(S14,VALORACION!F:G,2,FALSE))</f>
        <v/>
      </c>
      <c r="U14" s="11"/>
      <c r="V14" s="80" t="str">
        <f>IF(U14="","",VLOOKUP(U14,ROLES!G:H,2,FALSE))</f>
        <v/>
      </c>
      <c r="W14" s="11"/>
      <c r="X14" s="80" t="str">
        <f>IF(W14="","",VLOOKUP(W14,ROLES!I:J,2,FALSE))</f>
        <v/>
      </c>
      <c r="Y14" s="95" t="e">
        <f t="shared" si="1"/>
        <v>#VALUE!</v>
      </c>
      <c r="Z14" s="4"/>
      <c r="AA14" s="4"/>
      <c r="AC14" s="9" t="s">
        <v>8</v>
      </c>
      <c r="AD14" s="17">
        <v>2</v>
      </c>
      <c r="AE14" s="21" t="s">
        <v>25</v>
      </c>
      <c r="AF14" s="23">
        <v>2</v>
      </c>
    </row>
    <row r="15" spans="1:35" ht="28.95" customHeight="1" x14ac:dyDescent="0.3">
      <c r="A15" s="92"/>
      <c r="B15" s="92"/>
      <c r="C15" s="80"/>
      <c r="D15" s="88"/>
      <c r="E15" s="80"/>
      <c r="F15" s="4"/>
      <c r="G15" s="4"/>
      <c r="H15" s="25"/>
      <c r="I15" s="16"/>
      <c r="J15" s="4"/>
      <c r="K15" s="4"/>
      <c r="L15" s="139"/>
      <c r="M15" s="139"/>
      <c r="N15" s="81"/>
      <c r="O15" s="80" t="str">
        <f>IF(N15="","",VLOOKUP(N15,ROLES!B:C,2,FALSE))</f>
        <v/>
      </c>
      <c r="P15" s="15"/>
      <c r="Q15" s="15"/>
      <c r="R15" s="16">
        <f t="shared" si="2"/>
        <v>0</v>
      </c>
      <c r="S15" s="16"/>
      <c r="T15" s="80" t="str">
        <f>IF(S15="","",VLOOKUP(S15,VALORACION!F:G,2,FALSE))</f>
        <v/>
      </c>
      <c r="U15" s="11"/>
      <c r="V15" s="80" t="str">
        <f>IF(U15="","",VLOOKUP(U15,ROLES!G:H,2,FALSE))</f>
        <v/>
      </c>
      <c r="W15" s="11"/>
      <c r="X15" s="80" t="str">
        <f>IF(W15="","",VLOOKUP(W15,ROLES!I:J,2,FALSE))</f>
        <v/>
      </c>
      <c r="Y15" s="95" t="e">
        <f t="shared" si="1"/>
        <v>#VALUE!</v>
      </c>
      <c r="Z15" s="4"/>
      <c r="AA15" s="4"/>
      <c r="AC15" s="9" t="s">
        <v>9</v>
      </c>
      <c r="AD15" s="17">
        <v>1</v>
      </c>
      <c r="AE15" s="21" t="s">
        <v>26</v>
      </c>
      <c r="AF15" s="23">
        <v>1</v>
      </c>
    </row>
    <row r="16" spans="1:35" ht="28.95" customHeight="1" x14ac:dyDescent="0.3">
      <c r="A16" s="92"/>
      <c r="B16" s="92"/>
      <c r="C16" s="80"/>
      <c r="D16" s="88"/>
      <c r="E16" s="80"/>
      <c r="F16" s="4"/>
      <c r="G16" s="4"/>
      <c r="H16" s="25"/>
      <c r="I16" s="16"/>
      <c r="J16" s="4"/>
      <c r="K16" s="4"/>
      <c r="L16" s="139"/>
      <c r="M16" s="139"/>
      <c r="N16" s="81"/>
      <c r="O16" s="80" t="str">
        <f>IF(N16="","",VLOOKUP(N16,ROLES!B:C,2,FALSE))</f>
        <v/>
      </c>
      <c r="P16" s="15"/>
      <c r="Q16" s="15"/>
      <c r="R16" s="16">
        <f t="shared" si="2"/>
        <v>0</v>
      </c>
      <c r="S16" s="16"/>
      <c r="T16" s="80" t="str">
        <f>IF(S16="","",VLOOKUP(S16,VALORACION!F:G,2,FALSE))</f>
        <v/>
      </c>
      <c r="U16" s="11"/>
      <c r="V16" s="80" t="str">
        <f>IF(U16="","",VLOOKUP(U16,ROLES!G:H,2,FALSE))</f>
        <v/>
      </c>
      <c r="W16" s="11"/>
      <c r="X16" s="80" t="str">
        <f>IF(W16="","",VLOOKUP(W16,ROLES!I:J,2,FALSE))</f>
        <v/>
      </c>
      <c r="Y16" s="95" t="e">
        <f t="shared" si="1"/>
        <v>#VALUE!</v>
      </c>
      <c r="Z16" s="4"/>
      <c r="AA16" s="4"/>
      <c r="AC16" s="10"/>
      <c r="AD16" s="18"/>
      <c r="AE16" s="22"/>
      <c r="AF16" s="24"/>
    </row>
    <row r="17" spans="1:32" ht="28.95" customHeight="1" x14ac:dyDescent="0.3">
      <c r="A17" s="92"/>
      <c r="B17" s="92"/>
      <c r="C17" s="80"/>
      <c r="D17" s="88"/>
      <c r="E17" s="80"/>
      <c r="F17" s="4"/>
      <c r="G17" s="4"/>
      <c r="H17" s="25"/>
      <c r="I17" s="16"/>
      <c r="J17" s="4"/>
      <c r="K17" s="4"/>
      <c r="L17" s="139"/>
      <c r="M17" s="139"/>
      <c r="N17" s="81"/>
      <c r="O17" s="80" t="str">
        <f>IF(N17="","",VLOOKUP(N17,ROLES!B:C,2,FALSE))</f>
        <v/>
      </c>
      <c r="P17" s="15"/>
      <c r="Q17" s="15"/>
      <c r="R17" s="16">
        <f t="shared" si="2"/>
        <v>0</v>
      </c>
      <c r="S17" s="16"/>
      <c r="T17" s="80" t="str">
        <f>IF(S17="","",VLOOKUP(S17,VALORACION!F:G,2,FALSE))</f>
        <v/>
      </c>
      <c r="U17" s="11"/>
      <c r="V17" s="80" t="str">
        <f>IF(U17="","",VLOOKUP(U17,ROLES!G:H,2,FALSE))</f>
        <v/>
      </c>
      <c r="W17" s="11"/>
      <c r="X17" s="80" t="str">
        <f>IF(W17="","",VLOOKUP(W17,ROLES!I:J,2,FALSE))</f>
        <v/>
      </c>
      <c r="Y17" s="95" t="e">
        <f t="shared" si="1"/>
        <v>#VALUE!</v>
      </c>
      <c r="Z17" s="4"/>
      <c r="AA17" s="4"/>
      <c r="AC17" s="27"/>
      <c r="AD17" s="27"/>
      <c r="AE17" s="27"/>
      <c r="AF17" s="27"/>
    </row>
    <row r="18" spans="1:32" ht="28.95" customHeight="1" x14ac:dyDescent="0.3">
      <c r="A18" s="92"/>
      <c r="B18" s="92"/>
      <c r="C18" s="80"/>
      <c r="D18" s="92"/>
      <c r="E18" s="80"/>
      <c r="F18" s="2"/>
      <c r="G18" s="2"/>
      <c r="H18" s="25"/>
      <c r="I18" s="134"/>
      <c r="J18" s="2"/>
      <c r="K18" s="2"/>
      <c r="L18" s="2"/>
      <c r="M18" s="2"/>
      <c r="N18" s="85"/>
      <c r="O18" s="80" t="str">
        <f>IF(N18="","",VLOOKUP(N18,ROLES!B:C,2,FALSE))</f>
        <v/>
      </c>
      <c r="P18" s="15"/>
      <c r="Q18" s="15"/>
      <c r="R18" s="16">
        <f t="shared" si="2"/>
        <v>0</v>
      </c>
      <c r="S18" s="16"/>
      <c r="T18" s="80" t="str">
        <f>IF(S18="","",VLOOKUP(S18,VALORACION!F:G,2,FALSE))</f>
        <v/>
      </c>
      <c r="U18" s="11"/>
      <c r="V18" s="80" t="str">
        <f>IF(U18="","",VLOOKUP(U18,ROLES!G:H,2,FALSE))</f>
        <v/>
      </c>
      <c r="W18" s="11"/>
      <c r="X18" s="80" t="str">
        <f>IF(W18="","",VLOOKUP(W18,ROLES!I:J,2,FALSE))</f>
        <v/>
      </c>
      <c r="Y18" s="95" t="e">
        <f t="shared" si="1"/>
        <v>#VALUE!</v>
      </c>
      <c r="Z18" s="4"/>
      <c r="AA18" s="2"/>
      <c r="AC18" s="28"/>
      <c r="AD18" s="29"/>
      <c r="AE18" s="28"/>
      <c r="AF18" s="30"/>
    </row>
    <row r="19" spans="1:32" ht="28.95" customHeight="1" x14ac:dyDescent="0.3">
      <c r="A19" s="92"/>
      <c r="B19" s="92"/>
      <c r="C19" s="80"/>
      <c r="D19" s="92"/>
      <c r="E19" s="80"/>
      <c r="F19" s="2"/>
      <c r="G19" s="2"/>
      <c r="H19" s="25"/>
      <c r="I19" s="134"/>
      <c r="J19" s="2"/>
      <c r="K19" s="2"/>
      <c r="L19" s="140"/>
      <c r="M19" s="140"/>
      <c r="N19" s="85"/>
      <c r="O19" s="80" t="str">
        <f>IF(N19="","",VLOOKUP(N19,ROLES!B:C,2,FALSE))</f>
        <v/>
      </c>
      <c r="P19" s="15"/>
      <c r="Q19" s="15"/>
      <c r="R19" s="16">
        <f t="shared" si="2"/>
        <v>0</v>
      </c>
      <c r="S19" s="16"/>
      <c r="T19" s="80" t="str">
        <f>IF(S19="","",VLOOKUP(S19,VALORACION!F:G,2,FALSE))</f>
        <v/>
      </c>
      <c r="U19" s="11"/>
      <c r="V19" s="80" t="str">
        <f>IF(U19="","",VLOOKUP(U19,ROLES!G:H,2,FALSE))</f>
        <v/>
      </c>
      <c r="W19" s="11"/>
      <c r="X19" s="80" t="str">
        <f>IF(W19="","",VLOOKUP(W19,ROLES!I:J,2,FALSE))</f>
        <v/>
      </c>
      <c r="Y19" s="95" t="e">
        <f t="shared" si="1"/>
        <v>#VALUE!</v>
      </c>
      <c r="Z19" s="4"/>
      <c r="AA19" s="2"/>
      <c r="AC19" s="27"/>
      <c r="AD19" s="27"/>
      <c r="AE19" s="27"/>
      <c r="AF19" s="27"/>
    </row>
    <row r="20" spans="1:32" ht="28.95" customHeight="1" x14ac:dyDescent="0.3">
      <c r="A20" s="92"/>
      <c r="B20" s="92"/>
      <c r="C20" s="80"/>
      <c r="D20" s="92"/>
      <c r="E20" s="80"/>
      <c r="F20" s="2"/>
      <c r="G20" s="2"/>
      <c r="H20" s="25"/>
      <c r="I20" s="134"/>
      <c r="J20" s="2"/>
      <c r="K20" s="2"/>
      <c r="L20" s="140"/>
      <c r="M20" s="140"/>
      <c r="N20" s="85"/>
      <c r="O20" s="80" t="str">
        <f>IF(N20="","",VLOOKUP(N20,ROLES!B:C,2,FALSE))</f>
        <v/>
      </c>
      <c r="P20" s="15"/>
      <c r="Q20" s="15"/>
      <c r="R20" s="16">
        <f t="shared" si="2"/>
        <v>0</v>
      </c>
      <c r="S20" s="16"/>
      <c r="T20" s="80" t="str">
        <f>IF(S20="","",VLOOKUP(S20,VALORACION!F:G,2,FALSE))</f>
        <v/>
      </c>
      <c r="U20" s="11"/>
      <c r="V20" s="80" t="str">
        <f>IF(U20="","",VLOOKUP(U20,ROLES!G:H,2,FALSE))</f>
        <v/>
      </c>
      <c r="W20" s="11"/>
      <c r="X20" s="80" t="str">
        <f>IF(W20="","",VLOOKUP(W20,ROLES!I:J,2,FALSE))</f>
        <v/>
      </c>
      <c r="Y20" s="95" t="e">
        <f t="shared" si="1"/>
        <v>#VALUE!</v>
      </c>
      <c r="Z20" s="4"/>
      <c r="AA20" s="2"/>
      <c r="AC20" s="28"/>
      <c r="AD20" s="29"/>
      <c r="AE20" s="28"/>
      <c r="AF20" s="30"/>
    </row>
    <row r="21" spans="1:32" ht="28.95" customHeight="1" x14ac:dyDescent="0.3">
      <c r="A21" s="92"/>
      <c r="B21" s="92"/>
      <c r="C21" s="80"/>
      <c r="D21" s="92"/>
      <c r="E21" s="80"/>
      <c r="F21" s="2"/>
      <c r="G21" s="2"/>
      <c r="H21" s="25"/>
      <c r="I21" s="134"/>
      <c r="J21" s="2"/>
      <c r="K21" s="2"/>
      <c r="L21" s="140"/>
      <c r="M21" s="140"/>
      <c r="N21" s="85"/>
      <c r="O21" s="80" t="str">
        <f>IF(N21="","",VLOOKUP(N21,ROLES!B:C,2,FALSE))</f>
        <v/>
      </c>
      <c r="P21" s="15"/>
      <c r="Q21" s="15"/>
      <c r="R21" s="16">
        <f t="shared" si="2"/>
        <v>0</v>
      </c>
      <c r="S21" s="16"/>
      <c r="T21" s="80" t="str">
        <f>IF(S21="","",VLOOKUP(S21,VALORACION!F:G,2,FALSE))</f>
        <v/>
      </c>
      <c r="U21" s="11"/>
      <c r="V21" s="80" t="str">
        <f>IF(U21="","",VLOOKUP(U21,ROLES!G:H,2,FALSE))</f>
        <v/>
      </c>
      <c r="W21" s="11"/>
      <c r="X21" s="80" t="str">
        <f>IF(W21="","",VLOOKUP(W21,ROLES!I:J,2,FALSE))</f>
        <v/>
      </c>
      <c r="Y21" s="95" t="e">
        <f t="shared" si="1"/>
        <v>#VALUE!</v>
      </c>
      <c r="Z21" s="4"/>
      <c r="AA21" s="2"/>
      <c r="AC21" s="27"/>
      <c r="AD21" s="27"/>
      <c r="AE21" s="27"/>
      <c r="AF21" s="27"/>
    </row>
    <row r="22" spans="1:32" ht="28.95" customHeight="1" x14ac:dyDescent="0.3">
      <c r="A22" s="92"/>
      <c r="B22" s="92"/>
      <c r="C22" s="80"/>
      <c r="D22" s="92"/>
      <c r="E22" s="80"/>
      <c r="F22" s="2"/>
      <c r="G22" s="2"/>
      <c r="H22" s="25"/>
      <c r="I22" s="134"/>
      <c r="J22" s="2"/>
      <c r="K22" s="2"/>
      <c r="L22" s="140"/>
      <c r="M22" s="140"/>
      <c r="N22" s="85"/>
      <c r="O22" s="80" t="str">
        <f>IF(N22="","",VLOOKUP(N22,ROLES!B:C,2,FALSE))</f>
        <v/>
      </c>
      <c r="P22" s="15"/>
      <c r="Q22" s="15"/>
      <c r="R22" s="16">
        <f t="shared" si="2"/>
        <v>0</v>
      </c>
      <c r="S22" s="16"/>
      <c r="T22" s="80" t="str">
        <f>IF(S22="","",VLOOKUP(S22,VALORACION!F:G,2,FALSE))</f>
        <v/>
      </c>
      <c r="U22" s="11"/>
      <c r="V22" s="80" t="str">
        <f>IF(U22="","",VLOOKUP(U22,ROLES!G:H,2,FALSE))</f>
        <v/>
      </c>
      <c r="W22" s="11"/>
      <c r="X22" s="80" t="str">
        <f>IF(W22="","",VLOOKUP(W22,ROLES!I:J,2,FALSE))</f>
        <v/>
      </c>
      <c r="Y22" s="95" t="e">
        <f t="shared" si="1"/>
        <v>#VALUE!</v>
      </c>
      <c r="Z22" s="4"/>
      <c r="AA22" s="2"/>
      <c r="AC22" s="28"/>
      <c r="AD22" s="29"/>
      <c r="AE22" s="28"/>
      <c r="AF22" s="30"/>
    </row>
    <row r="23" spans="1:32" ht="28.95" customHeight="1" x14ac:dyDescent="0.3">
      <c r="A23" s="92"/>
      <c r="B23" s="92"/>
      <c r="C23" s="80"/>
      <c r="D23" s="92"/>
      <c r="E23" s="80"/>
      <c r="F23" s="2"/>
      <c r="G23" s="2"/>
      <c r="H23" s="25"/>
      <c r="I23" s="134"/>
      <c r="J23" s="2"/>
      <c r="K23" s="2"/>
      <c r="L23" s="140"/>
      <c r="M23" s="140"/>
      <c r="N23" s="85"/>
      <c r="O23" s="80" t="str">
        <f>IF(N23="","",VLOOKUP(N23,ROLES!B:C,2,FALSE))</f>
        <v/>
      </c>
      <c r="P23" s="15"/>
      <c r="Q23" s="15"/>
      <c r="R23" s="16">
        <f t="shared" si="2"/>
        <v>0</v>
      </c>
      <c r="S23" s="16"/>
      <c r="T23" s="80" t="str">
        <f>IF(S23="","",VLOOKUP(S23,VALORACION!F:G,2,FALSE))</f>
        <v/>
      </c>
      <c r="U23" s="11"/>
      <c r="V23" s="80" t="str">
        <f>IF(U23="","",VLOOKUP(U23,ROLES!G:H,2,FALSE))</f>
        <v/>
      </c>
      <c r="W23" s="11"/>
      <c r="X23" s="80" t="str">
        <f>IF(W23="","",VLOOKUP(W23,ROLES!I:J,2,FALSE))</f>
        <v/>
      </c>
      <c r="Y23" s="95" t="e">
        <f t="shared" si="1"/>
        <v>#VALUE!</v>
      </c>
      <c r="Z23" s="4"/>
      <c r="AA23" s="2"/>
      <c r="AC23" s="27"/>
      <c r="AD23" s="27"/>
      <c r="AE23" s="27"/>
      <c r="AF23" s="27"/>
    </row>
    <row r="24" spans="1:32" ht="28.95" customHeight="1" x14ac:dyDescent="0.3">
      <c r="A24" s="92"/>
      <c r="B24" s="92"/>
      <c r="C24" s="80"/>
      <c r="D24" s="92"/>
      <c r="E24" s="80"/>
      <c r="F24" s="2"/>
      <c r="G24" s="2"/>
      <c r="H24" s="25"/>
      <c r="I24" s="134"/>
      <c r="J24" s="2"/>
      <c r="K24" s="2"/>
      <c r="L24" s="140"/>
      <c r="M24" s="140"/>
      <c r="N24" s="85"/>
      <c r="O24" s="80" t="str">
        <f>IF(N24="","",VLOOKUP(N24,ROLES!B:C,2,FALSE))</f>
        <v/>
      </c>
      <c r="P24" s="15"/>
      <c r="Q24" s="15"/>
      <c r="R24" s="16">
        <f t="shared" si="2"/>
        <v>0</v>
      </c>
      <c r="S24" s="16"/>
      <c r="T24" s="80" t="str">
        <f>IF(S24="","",VLOOKUP(S24,VALORACION!F:G,2,FALSE))</f>
        <v/>
      </c>
      <c r="U24" s="11"/>
      <c r="V24" s="80" t="str">
        <f>IF(U24="","",VLOOKUP(U24,ROLES!G:H,2,FALSE))</f>
        <v/>
      </c>
      <c r="W24" s="11"/>
      <c r="X24" s="80" t="str">
        <f>IF(W24="","",VLOOKUP(W24,ROLES!I:J,2,FALSE))</f>
        <v/>
      </c>
      <c r="Y24" s="95" t="e">
        <f t="shared" si="1"/>
        <v>#VALUE!</v>
      </c>
      <c r="Z24" s="4"/>
      <c r="AA24" s="2"/>
      <c r="AC24" s="28"/>
      <c r="AD24" s="29"/>
      <c r="AE24" s="28"/>
      <c r="AF24" s="30"/>
    </row>
    <row r="25" spans="1:32" ht="28.95" customHeight="1" x14ac:dyDescent="0.3">
      <c r="A25" s="92"/>
      <c r="B25" s="92"/>
      <c r="C25" s="80"/>
      <c r="D25" s="92"/>
      <c r="E25" s="80"/>
      <c r="F25" s="2"/>
      <c r="G25" s="2"/>
      <c r="H25" s="25"/>
      <c r="I25" s="134"/>
      <c r="J25" s="2"/>
      <c r="K25" s="2"/>
      <c r="L25" s="140"/>
      <c r="M25" s="140"/>
      <c r="N25" s="85"/>
      <c r="O25" s="80" t="str">
        <f>IF(N25="","",VLOOKUP(N25,ROLES!B:C,2,FALSE))</f>
        <v/>
      </c>
      <c r="P25" s="15"/>
      <c r="Q25" s="15"/>
      <c r="R25" s="16">
        <f t="shared" si="2"/>
        <v>0</v>
      </c>
      <c r="S25" s="16"/>
      <c r="T25" s="80" t="str">
        <f>IF(S25="","",VLOOKUP(S25,VALORACION!F:G,2,FALSE))</f>
        <v/>
      </c>
      <c r="U25" s="11"/>
      <c r="V25" s="80" t="str">
        <f>IF(U25="","",VLOOKUP(U25,ROLES!G:H,2,FALSE))</f>
        <v/>
      </c>
      <c r="W25" s="11"/>
      <c r="X25" s="80" t="str">
        <f>IF(W25="","",VLOOKUP(W25,ROLES!I:J,2,FALSE))</f>
        <v/>
      </c>
      <c r="Y25" s="95" t="e">
        <f t="shared" si="1"/>
        <v>#VALUE!</v>
      </c>
      <c r="Z25" s="4"/>
      <c r="AA25" s="2"/>
      <c r="AC25" s="27"/>
      <c r="AD25" s="27"/>
      <c r="AE25" s="27"/>
      <c r="AF25" s="27"/>
    </row>
    <row r="26" spans="1:32" ht="28.95" customHeight="1" x14ac:dyDescent="0.3">
      <c r="A26" s="92"/>
      <c r="B26" s="92"/>
      <c r="C26" s="80"/>
      <c r="D26" s="92"/>
      <c r="E26" s="80"/>
      <c r="F26" s="2"/>
      <c r="G26" s="2"/>
      <c r="H26" s="25"/>
      <c r="I26" s="134"/>
      <c r="J26" s="2"/>
      <c r="K26" s="2"/>
      <c r="L26" s="140"/>
      <c r="M26" s="140"/>
      <c r="N26" s="85"/>
      <c r="O26" s="80" t="str">
        <f>IF(N26="","",VLOOKUP(N26,ROLES!B:C,2,FALSE))</f>
        <v/>
      </c>
      <c r="P26" s="15"/>
      <c r="Q26" s="15"/>
      <c r="R26" s="16">
        <f t="shared" si="2"/>
        <v>0</v>
      </c>
      <c r="S26" s="16"/>
      <c r="T26" s="80" t="str">
        <f>IF(S26="","",VLOOKUP(S26,VALORACION!F:G,2,FALSE))</f>
        <v/>
      </c>
      <c r="U26" s="11"/>
      <c r="V26" s="80" t="str">
        <f>IF(U26="","",VLOOKUP(U26,ROLES!G:H,2,FALSE))</f>
        <v/>
      </c>
      <c r="W26" s="11"/>
      <c r="X26" s="80" t="str">
        <f>IF(W26="","",VLOOKUP(W26,ROLES!I:J,2,FALSE))</f>
        <v/>
      </c>
      <c r="Y26" s="95" t="e">
        <f t="shared" si="1"/>
        <v>#VALUE!</v>
      </c>
      <c r="Z26" s="4"/>
      <c r="AA26" s="2"/>
      <c r="AC26" s="28"/>
      <c r="AD26" s="29"/>
      <c r="AE26" s="28"/>
      <c r="AF26" s="30"/>
    </row>
    <row r="27" spans="1:32" ht="28.95" customHeight="1" x14ac:dyDescent="0.3">
      <c r="A27" s="92"/>
      <c r="B27" s="92"/>
      <c r="C27" s="80"/>
      <c r="D27" s="92"/>
      <c r="E27" s="80"/>
      <c r="F27" s="2"/>
      <c r="G27" s="2"/>
      <c r="H27" s="25"/>
      <c r="I27" s="134"/>
      <c r="J27" s="2"/>
      <c r="K27" s="2"/>
      <c r="L27" s="140"/>
      <c r="M27" s="140"/>
      <c r="N27" s="85"/>
      <c r="O27" s="80" t="str">
        <f>IF(N27="","",VLOOKUP(N27,ROLES!B:C,2,FALSE))</f>
        <v/>
      </c>
      <c r="P27" s="15"/>
      <c r="Q27" s="15"/>
      <c r="R27" s="16">
        <f t="shared" si="2"/>
        <v>0</v>
      </c>
      <c r="S27" s="16"/>
      <c r="T27" s="80" t="str">
        <f>IF(S27="","",VLOOKUP(S27,VALORACION!F:G,2,FALSE))</f>
        <v/>
      </c>
      <c r="U27" s="11"/>
      <c r="V27" s="80" t="str">
        <f>IF(U27="","",VLOOKUP(U27,ROLES!G:H,2,FALSE))</f>
        <v/>
      </c>
      <c r="W27" s="11"/>
      <c r="X27" s="80" t="str">
        <f>IF(W27="","",VLOOKUP(W27,ROLES!I:J,2,FALSE))</f>
        <v/>
      </c>
      <c r="Y27" s="95" t="e">
        <f t="shared" si="1"/>
        <v>#VALUE!</v>
      </c>
      <c r="Z27" s="4"/>
      <c r="AA27" s="2"/>
      <c r="AC27" s="31"/>
      <c r="AD27" s="32"/>
      <c r="AE27" s="31"/>
      <c r="AF27" s="31"/>
    </row>
    <row r="28" spans="1:32" ht="28.95" customHeight="1" x14ac:dyDescent="0.3">
      <c r="A28" s="92"/>
      <c r="B28" s="92"/>
      <c r="C28" s="80"/>
      <c r="D28" s="92"/>
      <c r="E28" s="80"/>
      <c r="F28" s="2"/>
      <c r="G28" s="2"/>
      <c r="H28" s="25"/>
      <c r="I28" s="134"/>
      <c r="J28" s="2"/>
      <c r="K28" s="2"/>
      <c r="L28" s="140"/>
      <c r="M28" s="140"/>
      <c r="N28" s="85"/>
      <c r="O28" s="80" t="str">
        <f>IF(N28="","",VLOOKUP(N28,ROLES!B:C,2,FALSE))</f>
        <v/>
      </c>
      <c r="P28" s="15"/>
      <c r="Q28" s="15"/>
      <c r="R28" s="16">
        <f t="shared" si="2"/>
        <v>0</v>
      </c>
      <c r="S28" s="16"/>
      <c r="T28" s="80" t="str">
        <f>IF(S28="","",VLOOKUP(S28,VALORACION!F:G,2,FALSE))</f>
        <v/>
      </c>
      <c r="U28" s="11"/>
      <c r="V28" s="80" t="str">
        <f>IF(U28="","",VLOOKUP(U28,ROLES!G:H,2,FALSE))</f>
        <v/>
      </c>
      <c r="W28" s="11"/>
      <c r="X28" s="80" t="str">
        <f>IF(W28="","",VLOOKUP(W28,ROLES!I:J,2,FALSE))</f>
        <v/>
      </c>
      <c r="Y28" s="95" t="e">
        <f t="shared" si="1"/>
        <v>#VALUE!</v>
      </c>
      <c r="Z28" s="4"/>
      <c r="AA28" s="2"/>
      <c r="AC28" s="31"/>
      <c r="AD28" s="32"/>
      <c r="AE28" s="31"/>
      <c r="AF28" s="31"/>
    </row>
    <row r="29" spans="1:32" ht="28.95" customHeight="1" x14ac:dyDescent="0.3">
      <c r="A29" s="92"/>
      <c r="B29" s="92"/>
      <c r="C29" s="80"/>
      <c r="D29" s="92"/>
      <c r="E29" s="80"/>
      <c r="F29" s="2"/>
      <c r="G29" s="2"/>
      <c r="H29" s="25"/>
      <c r="I29" s="134"/>
      <c r="J29" s="2"/>
      <c r="K29" s="2"/>
      <c r="L29" s="140"/>
      <c r="M29" s="140"/>
      <c r="N29" s="85"/>
      <c r="O29" s="80" t="str">
        <f>IF(N29="","",VLOOKUP(N29,ROLES!B:C,2,FALSE))</f>
        <v/>
      </c>
      <c r="P29" s="15"/>
      <c r="Q29" s="15"/>
      <c r="R29" s="16">
        <f t="shared" si="2"/>
        <v>0</v>
      </c>
      <c r="S29" s="16"/>
      <c r="T29" s="80" t="str">
        <f>IF(S29="","",VLOOKUP(S29,VALORACION!F:G,2,FALSE))</f>
        <v/>
      </c>
      <c r="U29" s="11"/>
      <c r="V29" s="80" t="str">
        <f>IF(U29="","",VLOOKUP(U29,ROLES!G:H,2,FALSE))</f>
        <v/>
      </c>
      <c r="W29" s="11"/>
      <c r="X29" s="80" t="str">
        <f>IF(W29="","",VLOOKUP(W29,ROLES!I:J,2,FALSE))</f>
        <v/>
      </c>
      <c r="Y29" s="95" t="e">
        <f t="shared" si="1"/>
        <v>#VALUE!</v>
      </c>
      <c r="Z29" s="4"/>
      <c r="AA29" s="2"/>
      <c r="AC29" s="31"/>
      <c r="AD29" s="32"/>
      <c r="AE29" s="31"/>
      <c r="AF29" s="31"/>
    </row>
    <row r="30" spans="1:32" ht="28.95" customHeight="1" x14ac:dyDescent="0.3">
      <c r="A30" s="92"/>
      <c r="B30" s="92"/>
      <c r="C30" s="80"/>
      <c r="D30" s="92"/>
      <c r="E30" s="80"/>
      <c r="F30" s="2"/>
      <c r="G30" s="2"/>
      <c r="H30" s="25"/>
      <c r="I30" s="134"/>
      <c r="J30" s="2"/>
      <c r="K30" s="136"/>
      <c r="L30" s="140"/>
      <c r="M30" s="140"/>
      <c r="N30" s="85"/>
      <c r="O30" s="80" t="str">
        <f>IF(N30="","",VLOOKUP(N30,ROLES!B:C,2,FALSE))</f>
        <v/>
      </c>
      <c r="P30" s="15"/>
      <c r="Q30" s="15"/>
      <c r="R30" s="16">
        <f t="shared" si="2"/>
        <v>0</v>
      </c>
      <c r="S30" s="16"/>
      <c r="T30" s="80" t="str">
        <f>IF(S30="","",VLOOKUP(S30,VALORACION!F:G,2,FALSE))</f>
        <v/>
      </c>
      <c r="U30" s="11"/>
      <c r="V30" s="80" t="str">
        <f>IF(U30="","",VLOOKUP(U30,ROLES!G:H,2,FALSE))</f>
        <v/>
      </c>
      <c r="W30" s="11"/>
      <c r="X30" s="80" t="str">
        <f>IF(W30="","",VLOOKUP(W30,ROLES!I:J,2,FALSE))</f>
        <v/>
      </c>
      <c r="Y30" s="95" t="e">
        <f t="shared" si="1"/>
        <v>#VALUE!</v>
      </c>
      <c r="Z30" s="4"/>
      <c r="AA30" s="2"/>
      <c r="AC30" s="31"/>
      <c r="AD30" s="32"/>
      <c r="AE30" s="31"/>
      <c r="AF30" s="31"/>
    </row>
    <row r="31" spans="1:32" ht="28.95" customHeight="1" x14ac:dyDescent="0.3">
      <c r="A31" s="92"/>
      <c r="B31" s="92"/>
      <c r="C31" s="80"/>
      <c r="D31" s="92"/>
      <c r="E31" s="80"/>
      <c r="F31" s="2"/>
      <c r="G31" s="2"/>
      <c r="H31" s="25"/>
      <c r="I31" s="134"/>
      <c r="J31" s="2"/>
      <c r="K31" s="137"/>
      <c r="L31" s="140"/>
      <c r="M31" s="140"/>
      <c r="N31" s="85"/>
      <c r="O31" s="80" t="str">
        <f>IF(N31="","",VLOOKUP(N31,ROLES!B:C,2,FALSE))</f>
        <v/>
      </c>
      <c r="P31" s="15"/>
      <c r="Q31" s="15"/>
      <c r="R31" s="16">
        <f t="shared" si="2"/>
        <v>0</v>
      </c>
      <c r="S31" s="16"/>
      <c r="T31" s="80" t="str">
        <f>IF(S31="","",VLOOKUP(S31,VALORACION!F:G,2,FALSE))</f>
        <v/>
      </c>
      <c r="U31" s="11"/>
      <c r="V31" s="80" t="str">
        <f>IF(U31="","",VLOOKUP(U31,ROLES!G:H,2,FALSE))</f>
        <v/>
      </c>
      <c r="W31" s="11"/>
      <c r="X31" s="80" t="str">
        <f>IF(W31="","",VLOOKUP(W31,ROLES!I:J,2,FALSE))</f>
        <v/>
      </c>
      <c r="Y31" s="95" t="e">
        <f t="shared" si="1"/>
        <v>#VALUE!</v>
      </c>
      <c r="Z31" s="4"/>
      <c r="AA31" s="2"/>
      <c r="AC31" s="31"/>
      <c r="AD31" s="32"/>
      <c r="AE31" s="31"/>
      <c r="AF31" s="31"/>
    </row>
    <row r="32" spans="1:32" ht="28.95" customHeight="1" x14ac:dyDescent="0.3">
      <c r="A32" s="92"/>
      <c r="B32" s="92"/>
      <c r="C32" s="80"/>
      <c r="D32" s="92"/>
      <c r="E32" s="80"/>
      <c r="F32" s="2"/>
      <c r="G32" s="2"/>
      <c r="H32" s="25"/>
      <c r="I32" s="134"/>
      <c r="J32" s="2"/>
      <c r="K32" s="137"/>
      <c r="L32" s="140"/>
      <c r="M32" s="140"/>
      <c r="N32" s="85"/>
      <c r="O32" s="80" t="str">
        <f>IF(N32="","",VLOOKUP(N32,ROLES!B:C,2,FALSE))</f>
        <v/>
      </c>
      <c r="P32" s="15"/>
      <c r="Q32" s="15"/>
      <c r="R32" s="16">
        <f t="shared" si="2"/>
        <v>0</v>
      </c>
      <c r="S32" s="16"/>
      <c r="T32" s="80" t="str">
        <f>IF(S32="","",VLOOKUP(S32,VALORACION!F:G,2,FALSE))</f>
        <v/>
      </c>
      <c r="U32" s="11"/>
      <c r="V32" s="80" t="str">
        <f>IF(U32="","",VLOOKUP(U32,ROLES!G:H,2,FALSE))</f>
        <v/>
      </c>
      <c r="W32" s="11"/>
      <c r="X32" s="80" t="str">
        <f>IF(W32="","",VLOOKUP(W32,ROLES!I:J,2,FALSE))</f>
        <v/>
      </c>
      <c r="Y32" s="95" t="e">
        <f t="shared" si="1"/>
        <v>#VALUE!</v>
      </c>
      <c r="Z32" s="4"/>
      <c r="AA32" s="2"/>
      <c r="AC32" s="31"/>
      <c r="AD32" s="32"/>
      <c r="AE32" s="31"/>
      <c r="AF32" s="31"/>
    </row>
    <row r="33" spans="1:32" ht="28.95" customHeight="1" x14ac:dyDescent="0.3">
      <c r="A33" s="92"/>
      <c r="B33" s="92"/>
      <c r="C33" s="80"/>
      <c r="D33" s="92"/>
      <c r="E33" s="80"/>
      <c r="F33" s="2"/>
      <c r="G33" s="2"/>
      <c r="H33" s="25"/>
      <c r="I33" s="134"/>
      <c r="J33" s="2"/>
      <c r="K33" s="137"/>
      <c r="L33" s="140"/>
      <c r="M33" s="140"/>
      <c r="N33" s="85"/>
      <c r="O33" s="80" t="str">
        <f>IF(N33="","",VLOOKUP(N33,ROLES!B:C,2,FALSE))</f>
        <v/>
      </c>
      <c r="P33" s="15"/>
      <c r="Q33" s="15"/>
      <c r="R33" s="16">
        <f t="shared" si="2"/>
        <v>0</v>
      </c>
      <c r="S33" s="16"/>
      <c r="T33" s="80" t="str">
        <f>IF(S33="","",VLOOKUP(S33,VALORACION!F:G,2,FALSE))</f>
        <v/>
      </c>
      <c r="U33" s="11"/>
      <c r="V33" s="80" t="str">
        <f>IF(U33="","",VLOOKUP(U33,ROLES!G:H,2,FALSE))</f>
        <v/>
      </c>
      <c r="W33" s="11"/>
      <c r="X33" s="80" t="str">
        <f>IF(W33="","",VLOOKUP(W33,ROLES!I:J,2,FALSE))</f>
        <v/>
      </c>
      <c r="Y33" s="95" t="e">
        <f t="shared" si="1"/>
        <v>#VALUE!</v>
      </c>
      <c r="Z33" s="4"/>
      <c r="AA33" s="2"/>
      <c r="AC33" s="31"/>
      <c r="AD33" s="32"/>
      <c r="AE33" s="31"/>
      <c r="AF33" s="31"/>
    </row>
    <row r="34" spans="1:32" ht="28.95" customHeight="1" x14ac:dyDescent="0.3">
      <c r="A34" s="92"/>
      <c r="B34" s="92"/>
      <c r="C34" s="80"/>
      <c r="D34" s="92"/>
      <c r="E34" s="80"/>
      <c r="F34" s="4"/>
      <c r="G34" s="4"/>
      <c r="H34" s="25"/>
      <c r="I34" s="16"/>
      <c r="J34" s="4"/>
      <c r="K34" s="4"/>
      <c r="L34" s="139"/>
      <c r="M34" s="139"/>
      <c r="N34" s="81"/>
      <c r="O34" s="80" t="str">
        <f>IF(N34="","",VLOOKUP(N34,ROLES!B:C,2,FALSE))</f>
        <v/>
      </c>
      <c r="P34" s="15"/>
      <c r="Q34" s="15"/>
      <c r="R34" s="16">
        <f t="shared" si="2"/>
        <v>0</v>
      </c>
      <c r="S34" s="16"/>
      <c r="T34" s="80" t="str">
        <f>IF(S34="","",VLOOKUP(S34,VALORACION!F:G,2,FALSE))</f>
        <v/>
      </c>
      <c r="U34" s="11"/>
      <c r="V34" s="80" t="str">
        <f>IF(U34="","",VLOOKUP(U34,ROLES!G:H,2,FALSE))</f>
        <v/>
      </c>
      <c r="W34" s="11"/>
      <c r="X34" s="80" t="str">
        <f>IF(W34="","",VLOOKUP(W34,ROLES!I:J,2,FALSE))</f>
        <v/>
      </c>
      <c r="Y34" s="95" t="e">
        <f t="shared" si="1"/>
        <v>#VALUE!</v>
      </c>
      <c r="Z34" s="4"/>
      <c r="AA34" s="2"/>
      <c r="AC34" s="31"/>
      <c r="AD34" s="32"/>
      <c r="AE34" s="31"/>
      <c r="AF34" s="31"/>
    </row>
    <row r="35" spans="1:32" ht="28.95" customHeight="1" x14ac:dyDescent="0.3">
      <c r="A35" s="92"/>
      <c r="B35" s="92"/>
      <c r="C35" s="80"/>
      <c r="D35" s="92"/>
      <c r="E35" s="80"/>
      <c r="F35" s="4"/>
      <c r="G35" s="4"/>
      <c r="H35" s="25"/>
      <c r="I35" s="16"/>
      <c r="J35" s="4"/>
      <c r="K35" s="4"/>
      <c r="L35" s="139"/>
      <c r="M35" s="139"/>
      <c r="N35" s="81"/>
      <c r="O35" s="80" t="str">
        <f>IF(N35="","",VLOOKUP(N35,ROLES!B:C,2,FALSE))</f>
        <v/>
      </c>
      <c r="P35" s="15"/>
      <c r="Q35" s="15"/>
      <c r="R35" s="16">
        <f t="shared" si="2"/>
        <v>0</v>
      </c>
      <c r="S35" s="16"/>
      <c r="T35" s="80" t="str">
        <f>IF(S35="","",VLOOKUP(S35,VALORACION!F:G,2,FALSE))</f>
        <v/>
      </c>
      <c r="U35" s="11"/>
      <c r="V35" s="80" t="str">
        <f>IF(U35="","",VLOOKUP(U35,ROLES!G:H,2,FALSE))</f>
        <v/>
      </c>
      <c r="W35" s="11"/>
      <c r="X35" s="80" t="str">
        <f>IF(W35="","",VLOOKUP(W35,ROLES!I:J,2,FALSE))</f>
        <v/>
      </c>
      <c r="Y35" s="95" t="e">
        <f t="shared" si="1"/>
        <v>#VALUE!</v>
      </c>
      <c r="Z35" s="4"/>
      <c r="AA35" s="2"/>
      <c r="AC35" s="31"/>
      <c r="AD35" s="32"/>
      <c r="AE35" s="31"/>
      <c r="AF35" s="31"/>
    </row>
    <row r="36" spans="1:32" ht="28.95" customHeight="1" x14ac:dyDescent="0.3">
      <c r="A36" s="92"/>
      <c r="B36" s="92"/>
      <c r="C36" s="80"/>
      <c r="D36" s="92"/>
      <c r="E36" s="80"/>
      <c r="F36" s="4"/>
      <c r="G36" s="4"/>
      <c r="H36" s="25"/>
      <c r="I36" s="16"/>
      <c r="J36" s="4"/>
      <c r="K36" s="4"/>
      <c r="L36" s="139"/>
      <c r="M36" s="139"/>
      <c r="N36" s="81"/>
      <c r="O36" s="80" t="str">
        <f>IF(N36="","",VLOOKUP(N36,ROLES!B:C,2,FALSE))</f>
        <v/>
      </c>
      <c r="P36" s="15"/>
      <c r="Q36" s="15"/>
      <c r="R36" s="16">
        <f t="shared" si="2"/>
        <v>0</v>
      </c>
      <c r="S36" s="16"/>
      <c r="T36" s="80" t="str">
        <f>IF(S36="","",VLOOKUP(S36,VALORACION!F:G,2,FALSE))</f>
        <v/>
      </c>
      <c r="U36" s="11"/>
      <c r="V36" s="80" t="str">
        <f>IF(U36="","",VLOOKUP(U36,ROLES!G:H,2,FALSE))</f>
        <v/>
      </c>
      <c r="W36" s="11"/>
      <c r="X36" s="80" t="str">
        <f>IF(W36="","",VLOOKUP(W36,ROLES!I:J,2,FALSE))</f>
        <v/>
      </c>
      <c r="Y36" s="95" t="e">
        <f t="shared" si="1"/>
        <v>#VALUE!</v>
      </c>
      <c r="Z36" s="4"/>
      <c r="AA36" s="2"/>
      <c r="AC36" s="31"/>
      <c r="AD36" s="32"/>
      <c r="AE36" s="31"/>
      <c r="AF36" s="31"/>
    </row>
    <row r="37" spans="1:32" ht="28.95" customHeight="1" x14ac:dyDescent="0.3">
      <c r="A37" s="92"/>
      <c r="B37" s="92"/>
      <c r="C37" s="80"/>
      <c r="D37" s="92"/>
      <c r="E37" s="80"/>
      <c r="F37" s="2"/>
      <c r="G37" s="2"/>
      <c r="H37" s="25"/>
      <c r="I37" s="134"/>
      <c r="J37" s="2"/>
      <c r="K37" s="2"/>
      <c r="L37" s="140"/>
      <c r="M37" s="140"/>
      <c r="N37" s="85"/>
      <c r="O37" s="80" t="str">
        <f>IF(N37="","",VLOOKUP(N37,ROLES!B:C,2,FALSE))</f>
        <v/>
      </c>
      <c r="P37" s="15"/>
      <c r="Q37" s="15"/>
      <c r="R37" s="16">
        <f t="shared" si="2"/>
        <v>0</v>
      </c>
      <c r="S37" s="16"/>
      <c r="T37" s="80" t="str">
        <f>IF(S37="","",VLOOKUP(S37,VALORACION!F:G,2,FALSE))</f>
        <v/>
      </c>
      <c r="U37" s="11"/>
      <c r="V37" s="80" t="str">
        <f>IF(U37="","",VLOOKUP(U37,ROLES!G:H,2,FALSE))</f>
        <v/>
      </c>
      <c r="W37" s="11"/>
      <c r="X37" s="80" t="str">
        <f>IF(W37="","",VLOOKUP(W37,ROLES!I:J,2,FALSE))</f>
        <v/>
      </c>
      <c r="Y37" s="95" t="e">
        <f t="shared" si="1"/>
        <v>#VALUE!</v>
      </c>
      <c r="Z37" s="4"/>
      <c r="AA37" s="2"/>
      <c r="AC37" s="31"/>
      <c r="AD37" s="32"/>
      <c r="AE37" s="31"/>
      <c r="AF37" s="31"/>
    </row>
    <row r="38" spans="1:32" ht="28.95" customHeight="1" x14ac:dyDescent="0.3">
      <c r="A38" s="92"/>
      <c r="B38" s="92"/>
      <c r="C38" s="80"/>
      <c r="D38" s="92"/>
      <c r="E38" s="80"/>
      <c r="F38" s="2"/>
      <c r="G38" s="2"/>
      <c r="H38" s="25"/>
      <c r="I38" s="134"/>
      <c r="J38" s="2"/>
      <c r="K38" s="2"/>
      <c r="L38" s="140"/>
      <c r="M38" s="140"/>
      <c r="N38" s="85"/>
      <c r="O38" s="80" t="str">
        <f>IF(N38="","",VLOOKUP(N38,ROLES!B:C,2,FALSE))</f>
        <v/>
      </c>
      <c r="P38" s="15"/>
      <c r="Q38" s="15"/>
      <c r="R38" s="16">
        <f t="shared" si="2"/>
        <v>0</v>
      </c>
      <c r="S38" s="16"/>
      <c r="T38" s="80" t="str">
        <f>IF(S38="","",VLOOKUP(S38,VALORACION!F:G,2,FALSE))</f>
        <v/>
      </c>
      <c r="U38" s="11"/>
      <c r="V38" s="80" t="str">
        <f>IF(U38="","",VLOOKUP(U38,ROLES!G:H,2,FALSE))</f>
        <v/>
      </c>
      <c r="W38" s="11"/>
      <c r="X38" s="80" t="str">
        <f>IF(W38="","",VLOOKUP(W38,ROLES!I:J,2,FALSE))</f>
        <v/>
      </c>
      <c r="Y38" s="95" t="e">
        <f t="shared" si="1"/>
        <v>#VALUE!</v>
      </c>
      <c r="Z38" s="4"/>
      <c r="AA38" s="2"/>
      <c r="AC38" s="31"/>
      <c r="AD38" s="32"/>
      <c r="AE38" s="31"/>
      <c r="AF38" s="31"/>
    </row>
    <row r="39" spans="1:32" ht="28.95" customHeight="1" x14ac:dyDescent="0.3">
      <c r="A39" s="92"/>
      <c r="B39" s="92"/>
      <c r="C39" s="80"/>
      <c r="D39" s="92"/>
      <c r="E39" s="80"/>
      <c r="F39" s="2"/>
      <c r="G39" s="2"/>
      <c r="H39" s="25"/>
      <c r="I39" s="134"/>
      <c r="J39" s="2"/>
      <c r="K39" s="2"/>
      <c r="L39" s="140"/>
      <c r="M39" s="140"/>
      <c r="N39" s="85"/>
      <c r="O39" s="80" t="str">
        <f>IF(N39="","",VLOOKUP(N39,ROLES!B:C,2,FALSE))</f>
        <v/>
      </c>
      <c r="P39" s="15"/>
      <c r="Q39" s="15"/>
      <c r="R39" s="16">
        <f t="shared" si="2"/>
        <v>0</v>
      </c>
      <c r="S39" s="16"/>
      <c r="T39" s="80" t="str">
        <f>IF(S39="","",VLOOKUP(S39,VALORACION!F:G,2,FALSE))</f>
        <v/>
      </c>
      <c r="U39" s="11"/>
      <c r="V39" s="80" t="str">
        <f>IF(U39="","",VLOOKUP(U39,ROLES!G:H,2,FALSE))</f>
        <v/>
      </c>
      <c r="W39" s="11"/>
      <c r="X39" s="80" t="str">
        <f>IF(W39="","",VLOOKUP(W39,ROLES!I:J,2,FALSE))</f>
        <v/>
      </c>
      <c r="Y39" s="95" t="e">
        <f t="shared" si="1"/>
        <v>#VALUE!</v>
      </c>
      <c r="Z39" s="4"/>
      <c r="AA39" s="2"/>
      <c r="AC39" s="27"/>
      <c r="AD39" s="27"/>
      <c r="AE39" s="27"/>
      <c r="AF39" s="27"/>
    </row>
    <row r="40" spans="1:32" ht="28.95" customHeight="1" x14ac:dyDescent="0.3">
      <c r="A40" s="92"/>
      <c r="B40" s="92"/>
      <c r="C40" s="80"/>
      <c r="D40" s="92"/>
      <c r="E40" s="80"/>
      <c r="F40" s="2"/>
      <c r="G40" s="2"/>
      <c r="H40" s="25"/>
      <c r="I40" s="134"/>
      <c r="J40" s="2"/>
      <c r="K40" s="2"/>
      <c r="L40" s="140"/>
      <c r="M40" s="140"/>
      <c r="N40" s="85"/>
      <c r="O40" s="80" t="str">
        <f>IF(N40="","",VLOOKUP(N40,ROLES!B:C,2,FALSE))</f>
        <v/>
      </c>
      <c r="P40" s="15"/>
      <c r="Q40" s="15"/>
      <c r="R40" s="16">
        <f t="shared" si="2"/>
        <v>0</v>
      </c>
      <c r="S40" s="16"/>
      <c r="T40" s="80" t="str">
        <f>IF(S40="","",VLOOKUP(S40,VALORACION!F:G,2,FALSE))</f>
        <v/>
      </c>
      <c r="U40" s="11"/>
      <c r="V40" s="80" t="str">
        <f>IF(U40="","",VLOOKUP(U40,ROLES!G:H,2,FALSE))</f>
        <v/>
      </c>
      <c r="W40" s="11"/>
      <c r="X40" s="80" t="str">
        <f>IF(W40="","",VLOOKUP(W40,ROLES!I:J,2,FALSE))</f>
        <v/>
      </c>
      <c r="Y40" s="95" t="e">
        <f t="shared" si="1"/>
        <v>#VALUE!</v>
      </c>
      <c r="Z40" s="4"/>
      <c r="AA40" s="2"/>
      <c r="AC40" s="27"/>
      <c r="AD40" s="27"/>
      <c r="AE40" s="27"/>
      <c r="AF40" s="27"/>
    </row>
    <row r="41" spans="1:32" ht="28.95" customHeight="1" x14ac:dyDescent="0.3">
      <c r="A41" s="92"/>
      <c r="B41" s="92"/>
      <c r="C41" s="80"/>
      <c r="D41" s="92"/>
      <c r="E41" s="80"/>
      <c r="F41" s="2"/>
      <c r="G41" s="2"/>
      <c r="H41" s="25"/>
      <c r="I41" s="134"/>
      <c r="J41" s="2"/>
      <c r="K41" s="2"/>
      <c r="L41" s="140"/>
      <c r="M41" s="140"/>
      <c r="N41" s="85"/>
      <c r="O41" s="80" t="str">
        <f>IF(N41="","",VLOOKUP(N41,ROLES!B:C,2,FALSE))</f>
        <v/>
      </c>
      <c r="P41" s="15"/>
      <c r="Q41" s="15"/>
      <c r="R41" s="16">
        <f t="shared" si="2"/>
        <v>0</v>
      </c>
      <c r="S41" s="16"/>
      <c r="T41" s="80" t="str">
        <f>IF(S41="","",VLOOKUP(S41,VALORACION!F:G,2,FALSE))</f>
        <v/>
      </c>
      <c r="U41" s="11"/>
      <c r="V41" s="80" t="str">
        <f>IF(U41="","",VLOOKUP(U41,ROLES!G:H,2,FALSE))</f>
        <v/>
      </c>
      <c r="W41" s="11"/>
      <c r="X41" s="80" t="str">
        <f>IF(W41="","",VLOOKUP(W41,ROLES!I:J,2,FALSE))</f>
        <v/>
      </c>
      <c r="Y41" s="95" t="e">
        <f t="shared" si="1"/>
        <v>#VALUE!</v>
      </c>
      <c r="Z41" s="4"/>
      <c r="AA41" s="2"/>
      <c r="AC41" s="27"/>
      <c r="AD41" s="27"/>
      <c r="AE41" s="27"/>
      <c r="AF41" s="27"/>
    </row>
    <row r="42" spans="1:32" ht="28.95" customHeight="1" x14ac:dyDescent="0.3">
      <c r="A42" s="92"/>
      <c r="B42" s="92"/>
      <c r="C42" s="80"/>
      <c r="D42" s="92"/>
      <c r="E42" s="80"/>
      <c r="F42" s="2"/>
      <c r="G42" s="2"/>
      <c r="H42" s="25"/>
      <c r="I42" s="134"/>
      <c r="J42" s="2"/>
      <c r="K42" s="2"/>
      <c r="L42" s="140"/>
      <c r="M42" s="140"/>
      <c r="N42" s="85"/>
      <c r="O42" s="80" t="str">
        <f>IF(N42="","",VLOOKUP(N42,ROLES!B:C,2,FALSE))</f>
        <v/>
      </c>
      <c r="P42" s="15"/>
      <c r="Q42" s="15"/>
      <c r="R42" s="16">
        <f t="shared" si="2"/>
        <v>0</v>
      </c>
      <c r="S42" s="16"/>
      <c r="T42" s="80" t="str">
        <f>IF(S42="","",VLOOKUP(S42,VALORACION!F:G,2,FALSE))</f>
        <v/>
      </c>
      <c r="U42" s="11"/>
      <c r="V42" s="80" t="str">
        <f>IF(U42="","",VLOOKUP(U42,ROLES!G:H,2,FALSE))</f>
        <v/>
      </c>
      <c r="W42" s="11"/>
      <c r="X42" s="80" t="str">
        <f>IF(W42="","",VLOOKUP(W42,ROLES!I:J,2,FALSE))</f>
        <v/>
      </c>
      <c r="Y42" s="95" t="e">
        <f t="shared" si="1"/>
        <v>#VALUE!</v>
      </c>
      <c r="Z42" s="4"/>
      <c r="AA42" s="2"/>
      <c r="AC42" s="27"/>
      <c r="AD42" s="27"/>
      <c r="AE42" s="27"/>
      <c r="AF42" s="27"/>
    </row>
    <row r="43" spans="1:32" ht="28.95" customHeight="1" x14ac:dyDescent="0.3">
      <c r="A43" s="92"/>
      <c r="B43" s="92"/>
      <c r="C43" s="80"/>
      <c r="D43" s="92"/>
      <c r="E43" s="80"/>
      <c r="F43" s="2"/>
      <c r="G43" s="2"/>
      <c r="H43" s="25"/>
      <c r="I43" s="134"/>
      <c r="J43" s="2"/>
      <c r="K43" s="2"/>
      <c r="L43" s="140"/>
      <c r="M43" s="140"/>
      <c r="N43" s="85"/>
      <c r="O43" s="80" t="str">
        <f>IF(N43="","",VLOOKUP(N43,ROLES!B:C,2,FALSE))</f>
        <v/>
      </c>
      <c r="P43" s="15"/>
      <c r="Q43" s="15"/>
      <c r="R43" s="16">
        <f t="shared" si="2"/>
        <v>0</v>
      </c>
      <c r="S43" s="16"/>
      <c r="T43" s="80" t="str">
        <f>IF(S43="","",VLOOKUP(S43,VALORACION!F:G,2,FALSE))</f>
        <v/>
      </c>
      <c r="U43" s="11"/>
      <c r="V43" s="80" t="str">
        <f>IF(U43="","",VLOOKUP(U43,ROLES!G:H,2,FALSE))</f>
        <v/>
      </c>
      <c r="W43" s="11"/>
      <c r="X43" s="80" t="str">
        <f>IF(W43="","",VLOOKUP(W43,ROLES!I:J,2,FALSE))</f>
        <v/>
      </c>
      <c r="Y43" s="95" t="e">
        <f t="shared" si="1"/>
        <v>#VALUE!</v>
      </c>
      <c r="Z43" s="4"/>
      <c r="AA43" s="2"/>
      <c r="AC43" s="27"/>
      <c r="AD43" s="27"/>
      <c r="AE43" s="27"/>
      <c r="AF43" s="27"/>
    </row>
    <row r="44" spans="1:32" ht="28.95" customHeight="1" x14ac:dyDescent="0.3">
      <c r="A44" s="92"/>
      <c r="B44" s="92"/>
      <c r="C44" s="80"/>
      <c r="D44" s="92"/>
      <c r="E44" s="80"/>
      <c r="F44" s="2"/>
      <c r="G44" s="2"/>
      <c r="H44" s="25"/>
      <c r="I44" s="134"/>
      <c r="J44" s="2"/>
      <c r="K44" s="2"/>
      <c r="L44" s="141"/>
      <c r="M44" s="141"/>
      <c r="N44" s="82"/>
      <c r="O44" s="80" t="str">
        <f>IF(N44="","",VLOOKUP(N44,ROLES!B:C,2,FALSE))</f>
        <v/>
      </c>
      <c r="P44" s="15"/>
      <c r="Q44" s="15"/>
      <c r="R44" s="16">
        <f t="shared" si="2"/>
        <v>0</v>
      </c>
      <c r="S44" s="16"/>
      <c r="T44" s="80" t="str">
        <f>IF(S44="","",VLOOKUP(S44,VALORACION!F:G,2,FALSE))</f>
        <v/>
      </c>
      <c r="U44" s="11"/>
      <c r="V44" s="80" t="str">
        <f>IF(U44="","",VLOOKUP(U44,ROLES!G:H,2,FALSE))</f>
        <v/>
      </c>
      <c r="W44" s="11"/>
      <c r="X44" s="80" t="str">
        <f>IF(W44="","",VLOOKUP(W44,ROLES!I:J,2,FALSE))</f>
        <v/>
      </c>
      <c r="Y44" s="95" t="e">
        <f t="shared" si="1"/>
        <v>#VALUE!</v>
      </c>
      <c r="Z44" s="4"/>
      <c r="AA44" s="2"/>
      <c r="AC44" s="27"/>
      <c r="AD44" s="27"/>
      <c r="AE44" s="27"/>
      <c r="AF44" s="27"/>
    </row>
    <row r="45" spans="1:32" ht="28.95" customHeight="1" x14ac:dyDescent="0.3">
      <c r="A45" s="92"/>
      <c r="B45" s="92"/>
      <c r="C45" s="80"/>
      <c r="D45" s="92"/>
      <c r="E45" s="80"/>
      <c r="F45" s="2"/>
      <c r="G45" s="2"/>
      <c r="H45" s="25"/>
      <c r="I45" s="134"/>
      <c r="J45" s="2"/>
      <c r="K45" s="2"/>
      <c r="L45" s="140"/>
      <c r="M45" s="140"/>
      <c r="N45" s="85"/>
      <c r="O45" s="80" t="str">
        <f>IF(N45="","",VLOOKUP(N45,ROLES!B:C,2,FALSE))</f>
        <v/>
      </c>
      <c r="P45" s="15"/>
      <c r="Q45" s="15"/>
      <c r="R45" s="16">
        <f t="shared" si="2"/>
        <v>0</v>
      </c>
      <c r="S45" s="16"/>
      <c r="T45" s="80" t="str">
        <f>IF(S45="","",VLOOKUP(S45,VALORACION!F:G,2,FALSE))</f>
        <v/>
      </c>
      <c r="U45" s="11"/>
      <c r="V45" s="80" t="str">
        <f>IF(U45="","",VLOOKUP(U45,ROLES!G:H,2,FALSE))</f>
        <v/>
      </c>
      <c r="W45" s="11"/>
      <c r="X45" s="80" t="str">
        <f>IF(W45="","",VLOOKUP(W45,ROLES!I:J,2,FALSE))</f>
        <v/>
      </c>
      <c r="Y45" s="95" t="e">
        <f t="shared" si="1"/>
        <v>#VALUE!</v>
      </c>
      <c r="Z45" s="4"/>
      <c r="AA45" s="2"/>
      <c r="AC45" s="27"/>
      <c r="AD45" s="27"/>
      <c r="AE45" s="27"/>
      <c r="AF45" s="27"/>
    </row>
    <row r="46" spans="1:32" ht="28.95" customHeight="1" x14ac:dyDescent="0.3">
      <c r="A46" s="92"/>
      <c r="B46" s="92"/>
      <c r="C46" s="80"/>
      <c r="D46" s="92"/>
      <c r="E46" s="80"/>
      <c r="F46" s="2"/>
      <c r="G46" s="2"/>
      <c r="H46" s="25"/>
      <c r="I46" s="134"/>
      <c r="J46" s="2"/>
      <c r="K46" s="2"/>
      <c r="L46" s="141"/>
      <c r="M46" s="141"/>
      <c r="N46" s="85"/>
      <c r="O46" s="80" t="str">
        <f>IF(N46="","",VLOOKUP(N46,ROLES!B:C,2,FALSE))</f>
        <v/>
      </c>
      <c r="P46" s="15"/>
      <c r="Q46" s="15"/>
      <c r="R46" s="16">
        <f t="shared" si="2"/>
        <v>0</v>
      </c>
      <c r="S46" s="16"/>
      <c r="T46" s="80" t="str">
        <f>IF(S46="","",VLOOKUP(S46,VALORACION!F:G,2,FALSE))</f>
        <v/>
      </c>
      <c r="U46" s="11"/>
      <c r="V46" s="80" t="str">
        <f>IF(U46="","",VLOOKUP(U46,ROLES!G:H,2,FALSE))</f>
        <v/>
      </c>
      <c r="W46" s="11"/>
      <c r="X46" s="80" t="str">
        <f>IF(W46="","",VLOOKUP(W46,ROLES!I:J,2,FALSE))</f>
        <v/>
      </c>
      <c r="Y46" s="95" t="e">
        <f t="shared" si="1"/>
        <v>#VALUE!</v>
      </c>
      <c r="Z46" s="4"/>
      <c r="AA46" s="2"/>
      <c r="AC46" s="27"/>
      <c r="AD46" s="27"/>
      <c r="AE46" s="27"/>
      <c r="AF46" s="27"/>
    </row>
    <row r="47" spans="1:32" ht="28.95" customHeight="1" x14ac:dyDescent="0.3">
      <c r="A47" s="92"/>
      <c r="B47" s="92"/>
      <c r="C47" s="80"/>
      <c r="D47" s="92"/>
      <c r="E47" s="80"/>
      <c r="F47" s="2"/>
      <c r="G47" s="2"/>
      <c r="H47" s="25"/>
      <c r="I47" s="134"/>
      <c r="J47" s="2"/>
      <c r="K47" s="2"/>
      <c r="L47" s="141"/>
      <c r="M47" s="141"/>
      <c r="N47" s="85"/>
      <c r="O47" s="80" t="str">
        <f>IF(N47="","",VLOOKUP(N47,ROLES!B:C,2,FALSE))</f>
        <v/>
      </c>
      <c r="P47" s="15"/>
      <c r="Q47" s="15"/>
      <c r="R47" s="16">
        <f t="shared" si="2"/>
        <v>0</v>
      </c>
      <c r="S47" s="16"/>
      <c r="T47" s="80" t="str">
        <f>IF(S47="","",VLOOKUP(S47,VALORACION!F:G,2,FALSE))</f>
        <v/>
      </c>
      <c r="U47" s="11"/>
      <c r="V47" s="80" t="str">
        <f>IF(U47="","",VLOOKUP(U47,ROLES!G:H,2,FALSE))</f>
        <v/>
      </c>
      <c r="W47" s="11"/>
      <c r="X47" s="80" t="str">
        <f>IF(W47="","",VLOOKUP(W47,ROLES!I:J,2,FALSE))</f>
        <v/>
      </c>
      <c r="Y47" s="95" t="e">
        <f t="shared" si="1"/>
        <v>#VALUE!</v>
      </c>
      <c r="Z47" s="4"/>
      <c r="AA47" s="2"/>
      <c r="AC47" s="27"/>
      <c r="AD47" s="27"/>
      <c r="AE47" s="27"/>
      <c r="AF47" s="27"/>
    </row>
    <row r="48" spans="1:32" ht="28.95" customHeight="1" x14ac:dyDescent="0.3">
      <c r="A48" s="92"/>
      <c r="B48" s="92"/>
      <c r="C48" s="80"/>
      <c r="D48" s="92"/>
      <c r="E48" s="80"/>
      <c r="F48" s="2"/>
      <c r="G48" s="2"/>
      <c r="H48" s="25"/>
      <c r="I48" s="134"/>
      <c r="J48" s="2"/>
      <c r="K48" s="2"/>
      <c r="L48" s="141"/>
      <c r="M48" s="141"/>
      <c r="N48" s="85"/>
      <c r="O48" s="80" t="str">
        <f>IF(N48="","",VLOOKUP(N48,ROLES!B:C,2,FALSE))</f>
        <v/>
      </c>
      <c r="P48" s="15"/>
      <c r="Q48" s="15"/>
      <c r="R48" s="16">
        <f t="shared" si="2"/>
        <v>0</v>
      </c>
      <c r="S48" s="16"/>
      <c r="T48" s="80" t="str">
        <f>IF(S48="","",VLOOKUP(S48,VALORACION!F:G,2,FALSE))</f>
        <v/>
      </c>
      <c r="U48" s="11"/>
      <c r="V48" s="80" t="str">
        <f>IF(U48="","",VLOOKUP(U48,ROLES!G:H,2,FALSE))</f>
        <v/>
      </c>
      <c r="W48" s="11"/>
      <c r="X48" s="80" t="str">
        <f>IF(W48="","",VLOOKUP(W48,ROLES!I:J,2,FALSE))</f>
        <v/>
      </c>
      <c r="Y48" s="95" t="e">
        <f t="shared" si="1"/>
        <v>#VALUE!</v>
      </c>
      <c r="Z48" s="4"/>
      <c r="AA48" s="2"/>
      <c r="AC48" s="27"/>
      <c r="AD48" s="27"/>
      <c r="AE48" s="27"/>
      <c r="AF48" s="27"/>
    </row>
    <row r="49" spans="1:32" ht="28.95" customHeight="1" x14ac:dyDescent="0.3">
      <c r="A49" s="92"/>
      <c r="B49" s="92"/>
      <c r="C49" s="80"/>
      <c r="D49" s="92"/>
      <c r="E49" s="80"/>
      <c r="F49" s="2"/>
      <c r="G49" s="2"/>
      <c r="H49" s="25"/>
      <c r="I49" s="134"/>
      <c r="J49" s="2"/>
      <c r="K49" s="2"/>
      <c r="L49" s="141"/>
      <c r="M49" s="141"/>
      <c r="N49" s="85"/>
      <c r="O49" s="80" t="str">
        <f>IF(N49="","",VLOOKUP(N49,ROLES!B:C,2,FALSE))</f>
        <v/>
      </c>
      <c r="P49" s="15"/>
      <c r="Q49" s="15"/>
      <c r="R49" s="16">
        <f t="shared" si="2"/>
        <v>0</v>
      </c>
      <c r="S49" s="16"/>
      <c r="T49" s="80" t="str">
        <f>IF(S49="","",VLOOKUP(S49,VALORACION!F:G,2,FALSE))</f>
        <v/>
      </c>
      <c r="U49" s="11"/>
      <c r="V49" s="80" t="str">
        <f>IF(U49="","",VLOOKUP(U49,ROLES!G:H,2,FALSE))</f>
        <v/>
      </c>
      <c r="W49" s="11"/>
      <c r="X49" s="80" t="str">
        <f>IF(W49="","",VLOOKUP(W49,ROLES!I:J,2,FALSE))</f>
        <v/>
      </c>
      <c r="Y49" s="95" t="e">
        <f t="shared" si="1"/>
        <v>#VALUE!</v>
      </c>
      <c r="Z49" s="4"/>
      <c r="AA49" s="2"/>
      <c r="AC49" s="27"/>
      <c r="AD49" s="27"/>
      <c r="AE49" s="27"/>
      <c r="AF49" s="27"/>
    </row>
    <row r="50" spans="1:32" ht="28.95" customHeight="1" x14ac:dyDescent="0.3">
      <c r="A50" s="92"/>
      <c r="B50" s="92"/>
      <c r="C50" s="80"/>
      <c r="D50" s="92"/>
      <c r="E50" s="80"/>
      <c r="F50" s="2"/>
      <c r="G50" s="2"/>
      <c r="H50" s="25"/>
      <c r="I50" s="134"/>
      <c r="J50" s="2"/>
      <c r="K50" s="2"/>
      <c r="L50" s="141"/>
      <c r="M50" s="141"/>
      <c r="N50" s="85"/>
      <c r="O50" s="80" t="str">
        <f>IF(N50="","",VLOOKUP(N50,ROLES!B:C,2,FALSE))</f>
        <v/>
      </c>
      <c r="P50" s="15"/>
      <c r="Q50" s="15"/>
      <c r="R50" s="16">
        <f t="shared" si="2"/>
        <v>0</v>
      </c>
      <c r="S50" s="16"/>
      <c r="T50" s="80" t="str">
        <f>IF(S50="","",VLOOKUP(S50,VALORACION!F:G,2,FALSE))</f>
        <v/>
      </c>
      <c r="U50" s="11"/>
      <c r="V50" s="80" t="str">
        <f>IF(U50="","",VLOOKUP(U50,ROLES!G:H,2,FALSE))</f>
        <v/>
      </c>
      <c r="W50" s="11"/>
      <c r="X50" s="80" t="str">
        <f>IF(W50="","",VLOOKUP(W50,ROLES!I:J,2,FALSE))</f>
        <v/>
      </c>
      <c r="Y50" s="95" t="e">
        <f t="shared" si="1"/>
        <v>#VALUE!</v>
      </c>
      <c r="Z50" s="4"/>
      <c r="AA50" s="2"/>
      <c r="AC50" s="27"/>
      <c r="AD50" s="27"/>
      <c r="AE50" s="27"/>
      <c r="AF50" s="27"/>
    </row>
    <row r="51" spans="1:32" ht="28.95" customHeight="1" x14ac:dyDescent="0.3">
      <c r="A51" s="92"/>
      <c r="B51" s="92"/>
      <c r="C51" s="80"/>
      <c r="D51" s="92"/>
      <c r="E51" s="80"/>
      <c r="F51" s="2"/>
      <c r="G51" s="2"/>
      <c r="H51" s="25"/>
      <c r="I51" s="134"/>
      <c r="J51" s="2"/>
      <c r="K51" s="2"/>
      <c r="L51" s="141"/>
      <c r="M51" s="141"/>
      <c r="N51" s="85"/>
      <c r="O51" s="80" t="str">
        <f>IF(N51="","",VLOOKUP(N51,ROLES!B:C,2,FALSE))</f>
        <v/>
      </c>
      <c r="P51" s="15"/>
      <c r="Q51" s="15"/>
      <c r="R51" s="16">
        <f t="shared" si="2"/>
        <v>0</v>
      </c>
      <c r="S51" s="16"/>
      <c r="T51" s="80" t="str">
        <f>IF(S51="","",VLOOKUP(S51,VALORACION!F:G,2,FALSE))</f>
        <v/>
      </c>
      <c r="U51" s="11"/>
      <c r="V51" s="80" t="str">
        <f>IF(U51="","",VLOOKUP(U51,ROLES!G:H,2,FALSE))</f>
        <v/>
      </c>
      <c r="W51" s="11"/>
      <c r="X51" s="80" t="str">
        <f>IF(W51="","",VLOOKUP(W51,ROLES!I:J,2,FALSE))</f>
        <v/>
      </c>
      <c r="Y51" s="95" t="e">
        <f t="shared" si="1"/>
        <v>#VALUE!</v>
      </c>
      <c r="Z51" s="4"/>
      <c r="AA51" s="2"/>
      <c r="AC51" s="27"/>
      <c r="AD51" s="27"/>
      <c r="AE51" s="27"/>
      <c r="AF51" s="27"/>
    </row>
    <row r="52" spans="1:32" ht="28.95" customHeight="1" x14ac:dyDescent="0.3">
      <c r="A52" s="92"/>
      <c r="B52" s="92"/>
      <c r="C52" s="80"/>
      <c r="D52" s="92"/>
      <c r="E52" s="80"/>
      <c r="F52" s="2"/>
      <c r="G52" s="2"/>
      <c r="H52" s="25"/>
      <c r="I52" s="134"/>
      <c r="J52" s="2"/>
      <c r="K52" s="2"/>
      <c r="L52" s="141"/>
      <c r="M52" s="141"/>
      <c r="N52" s="85"/>
      <c r="O52" s="80" t="str">
        <f>IF(N52="","",VLOOKUP(N52,ROLES!B:C,2,FALSE))</f>
        <v/>
      </c>
      <c r="P52" s="15"/>
      <c r="Q52" s="15"/>
      <c r="R52" s="16">
        <f t="shared" si="2"/>
        <v>0</v>
      </c>
      <c r="S52" s="16"/>
      <c r="T52" s="80" t="str">
        <f>IF(S52="","",VLOOKUP(S52,VALORACION!F:G,2,FALSE))</f>
        <v/>
      </c>
      <c r="U52" s="11"/>
      <c r="V52" s="80" t="str">
        <f>IF(U52="","",VLOOKUP(U52,ROLES!G:H,2,FALSE))</f>
        <v/>
      </c>
      <c r="W52" s="11"/>
      <c r="X52" s="80" t="str">
        <f>IF(W52="","",VLOOKUP(W52,ROLES!I:J,2,FALSE))</f>
        <v/>
      </c>
      <c r="Y52" s="95" t="e">
        <f t="shared" si="1"/>
        <v>#VALUE!</v>
      </c>
      <c r="Z52" s="4"/>
      <c r="AA52" s="2"/>
      <c r="AC52" s="27"/>
      <c r="AD52" s="27"/>
      <c r="AE52" s="27"/>
      <c r="AF52" s="27"/>
    </row>
    <row r="53" spans="1:32" ht="28.95" customHeight="1" x14ac:dyDescent="0.3">
      <c r="A53" s="92"/>
      <c r="B53" s="92"/>
      <c r="C53" s="80"/>
      <c r="D53" s="92"/>
      <c r="E53" s="80"/>
      <c r="F53" s="2"/>
      <c r="G53" s="2"/>
      <c r="H53" s="25"/>
      <c r="I53" s="134"/>
      <c r="J53" s="2"/>
      <c r="K53" s="2"/>
      <c r="L53" s="141"/>
      <c r="M53" s="141"/>
      <c r="N53" s="85"/>
      <c r="O53" s="80" t="str">
        <f>IF(N53="","",VLOOKUP(N53,ROLES!B:C,2,FALSE))</f>
        <v/>
      </c>
      <c r="P53" s="15"/>
      <c r="Q53" s="15"/>
      <c r="R53" s="16">
        <f t="shared" si="2"/>
        <v>0</v>
      </c>
      <c r="S53" s="16"/>
      <c r="T53" s="80" t="str">
        <f>IF(S53="","",VLOOKUP(S53,VALORACION!F:G,2,FALSE))</f>
        <v/>
      </c>
      <c r="U53" s="11"/>
      <c r="V53" s="80" t="str">
        <f>IF(U53="","",VLOOKUP(U53,ROLES!G:H,2,FALSE))</f>
        <v/>
      </c>
      <c r="W53" s="11"/>
      <c r="X53" s="80" t="str">
        <f>IF(W53="","",VLOOKUP(W53,ROLES!I:J,2,FALSE))</f>
        <v/>
      </c>
      <c r="Y53" s="95" t="e">
        <f t="shared" si="1"/>
        <v>#VALUE!</v>
      </c>
      <c r="Z53" s="4"/>
      <c r="AA53" s="2"/>
      <c r="AC53" s="27"/>
      <c r="AD53" s="27"/>
      <c r="AE53" s="27"/>
      <c r="AF53" s="27"/>
    </row>
    <row r="54" spans="1:32" ht="28.95" customHeight="1" x14ac:dyDescent="0.3">
      <c r="A54" s="92"/>
      <c r="B54" s="92"/>
      <c r="C54" s="80"/>
      <c r="D54" s="92"/>
      <c r="E54" s="80"/>
      <c r="F54" s="2"/>
      <c r="G54" s="2"/>
      <c r="H54" s="25"/>
      <c r="I54" s="134"/>
      <c r="J54" s="2"/>
      <c r="K54" s="2"/>
      <c r="L54" s="141"/>
      <c r="M54" s="141"/>
      <c r="N54" s="85"/>
      <c r="O54" s="80" t="str">
        <f>IF(N54="","",VLOOKUP(N54,ROLES!B:C,2,FALSE))</f>
        <v/>
      </c>
      <c r="P54" s="15"/>
      <c r="Q54" s="15"/>
      <c r="R54" s="16">
        <f t="shared" si="2"/>
        <v>0</v>
      </c>
      <c r="S54" s="16"/>
      <c r="T54" s="80" t="str">
        <f>IF(S54="","",VLOOKUP(S54,VALORACION!F:G,2,FALSE))</f>
        <v/>
      </c>
      <c r="U54" s="11"/>
      <c r="V54" s="80" t="str">
        <f>IF(U54="","",VLOOKUP(U54,ROLES!G:H,2,FALSE))</f>
        <v/>
      </c>
      <c r="W54" s="11"/>
      <c r="X54" s="80" t="str">
        <f>IF(W54="","",VLOOKUP(W54,ROLES!I:J,2,FALSE))</f>
        <v/>
      </c>
      <c r="Y54" s="95" t="e">
        <f t="shared" si="1"/>
        <v>#VALUE!</v>
      </c>
      <c r="Z54" s="4"/>
      <c r="AA54" s="2"/>
      <c r="AC54" s="27"/>
      <c r="AD54" s="27"/>
      <c r="AE54" s="27"/>
      <c r="AF54" s="27"/>
    </row>
    <row r="55" spans="1:32" ht="28.95" customHeight="1" x14ac:dyDescent="0.3">
      <c r="A55" s="92"/>
      <c r="B55" s="92"/>
      <c r="C55" s="80"/>
      <c r="D55" s="92"/>
      <c r="E55" s="80"/>
      <c r="F55" s="2"/>
      <c r="G55" s="2"/>
      <c r="H55" s="25"/>
      <c r="I55" s="134"/>
      <c r="J55" s="2"/>
      <c r="K55" s="2"/>
      <c r="L55" s="2"/>
      <c r="M55" s="2"/>
      <c r="N55" s="85"/>
      <c r="O55" s="80" t="str">
        <f>IF(N55="","",VLOOKUP(N55,ROLES!B:C,2,FALSE))</f>
        <v/>
      </c>
      <c r="P55" s="15"/>
      <c r="Q55" s="15"/>
      <c r="R55" s="16">
        <f t="shared" si="2"/>
        <v>0</v>
      </c>
      <c r="S55" s="16"/>
      <c r="T55" s="80" t="str">
        <f>IF(S55="","",VLOOKUP(S55,VALORACION!F:G,2,FALSE))</f>
        <v/>
      </c>
      <c r="U55" s="11"/>
      <c r="V55" s="80" t="str">
        <f>IF(U55="","",VLOOKUP(U55,ROLES!G:H,2,FALSE))</f>
        <v/>
      </c>
      <c r="W55" s="11"/>
      <c r="X55" s="80" t="str">
        <f>IF(W55="","",VLOOKUP(W55,ROLES!I:J,2,FALSE))</f>
        <v/>
      </c>
      <c r="Y55" s="95" t="e">
        <f t="shared" si="1"/>
        <v>#VALUE!</v>
      </c>
      <c r="Z55" s="4"/>
      <c r="AA55" s="2"/>
      <c r="AC55" s="27"/>
      <c r="AD55" s="27"/>
      <c r="AE55" s="27"/>
      <c r="AF55" s="27"/>
    </row>
    <row r="56" spans="1:32" ht="28.95" customHeight="1" x14ac:dyDescent="0.3">
      <c r="A56" s="92"/>
      <c r="B56" s="92"/>
      <c r="C56" s="80"/>
      <c r="D56" s="92"/>
      <c r="E56" s="80"/>
      <c r="F56" s="2"/>
      <c r="G56" s="2"/>
      <c r="H56" s="25"/>
      <c r="I56" s="134"/>
      <c r="J56" s="3"/>
      <c r="K56" s="2"/>
      <c r="L56" s="2"/>
      <c r="M56" s="2"/>
      <c r="N56" s="85"/>
      <c r="O56" s="80" t="str">
        <f>IF(N56="","",VLOOKUP(N56,ROLES!B:C,2,FALSE))</f>
        <v/>
      </c>
      <c r="P56" s="15"/>
      <c r="Q56" s="15"/>
      <c r="R56" s="16">
        <f t="shared" si="2"/>
        <v>0</v>
      </c>
      <c r="S56" s="16"/>
      <c r="T56" s="80" t="str">
        <f>IF(S56="","",VLOOKUP(S56,VALORACION!F:G,2,FALSE))</f>
        <v/>
      </c>
      <c r="U56" s="11"/>
      <c r="V56" s="80" t="str">
        <f>IF(U56="","",VLOOKUP(U56,ROLES!G:H,2,FALSE))</f>
        <v/>
      </c>
      <c r="W56" s="11"/>
      <c r="X56" s="80" t="str">
        <f>IF(W56="","",VLOOKUP(W56,ROLES!I:J,2,FALSE))</f>
        <v/>
      </c>
      <c r="Y56" s="95" t="e">
        <f t="shared" si="1"/>
        <v>#VALUE!</v>
      </c>
      <c r="Z56" s="4"/>
      <c r="AA56" s="2"/>
      <c r="AC56" s="27"/>
      <c r="AD56" s="27"/>
      <c r="AE56" s="27"/>
      <c r="AF56" s="27"/>
    </row>
    <row r="57" spans="1:32" ht="28.95" customHeight="1" x14ac:dyDescent="0.3">
      <c r="A57" s="92"/>
      <c r="B57" s="92"/>
      <c r="C57" s="80"/>
      <c r="D57" s="92"/>
      <c r="E57" s="80"/>
      <c r="F57" s="2"/>
      <c r="G57" s="2"/>
      <c r="H57" s="25"/>
      <c r="I57" s="134"/>
      <c r="J57" s="3"/>
      <c r="K57" s="2"/>
      <c r="L57" s="2"/>
      <c r="M57" s="2"/>
      <c r="N57" s="85"/>
      <c r="O57" s="80" t="str">
        <f>IF(N57="","",VLOOKUP(N57,ROLES!B:C,2,FALSE))</f>
        <v/>
      </c>
      <c r="P57" s="15"/>
      <c r="Q57" s="15"/>
      <c r="R57" s="16">
        <f t="shared" si="2"/>
        <v>0</v>
      </c>
      <c r="S57" s="16"/>
      <c r="T57" s="80" t="str">
        <f>IF(S57="","",VLOOKUP(S57,VALORACION!F:G,2,FALSE))</f>
        <v/>
      </c>
      <c r="U57" s="11"/>
      <c r="V57" s="80" t="str">
        <f>IF(U57="","",VLOOKUP(U57,ROLES!G:H,2,FALSE))</f>
        <v/>
      </c>
      <c r="W57" s="11"/>
      <c r="X57" s="80" t="str">
        <f>IF(W57="","",VLOOKUP(W57,ROLES!I:J,2,FALSE))</f>
        <v/>
      </c>
      <c r="Y57" s="95" t="e">
        <f t="shared" si="1"/>
        <v>#VALUE!</v>
      </c>
      <c r="Z57" s="4"/>
      <c r="AA57" s="2"/>
      <c r="AC57" s="27"/>
      <c r="AD57" s="27"/>
      <c r="AE57" s="27"/>
      <c r="AF57" s="27"/>
    </row>
    <row r="58" spans="1:32" ht="28.95" customHeight="1" x14ac:dyDescent="0.3">
      <c r="A58" s="92"/>
      <c r="B58" s="92"/>
      <c r="C58" s="80"/>
      <c r="D58" s="92"/>
      <c r="E58" s="80"/>
      <c r="F58" s="2"/>
      <c r="G58" s="2"/>
      <c r="H58" s="25"/>
      <c r="I58" s="134"/>
      <c r="J58" s="3"/>
      <c r="K58" s="2"/>
      <c r="L58" s="2"/>
      <c r="M58" s="2"/>
      <c r="N58" s="85"/>
      <c r="O58" s="80" t="str">
        <f>IF(N58="","",VLOOKUP(N58,ROLES!B:C,2,FALSE))</f>
        <v/>
      </c>
      <c r="P58" s="15"/>
      <c r="Q58" s="15"/>
      <c r="R58" s="16">
        <f t="shared" si="2"/>
        <v>0</v>
      </c>
      <c r="S58" s="16"/>
      <c r="T58" s="80" t="str">
        <f>IF(S58="","",VLOOKUP(S58,VALORACION!F:G,2,FALSE))</f>
        <v/>
      </c>
      <c r="U58" s="11"/>
      <c r="V58" s="80" t="str">
        <f>IF(U58="","",VLOOKUP(U58,ROLES!G:H,2,FALSE))</f>
        <v/>
      </c>
      <c r="W58" s="11"/>
      <c r="X58" s="80" t="str">
        <f>IF(W58="","",VLOOKUP(W58,ROLES!I:J,2,FALSE))</f>
        <v/>
      </c>
      <c r="Y58" s="95" t="e">
        <f t="shared" si="1"/>
        <v>#VALUE!</v>
      </c>
      <c r="Z58" s="4"/>
      <c r="AA58" s="2"/>
      <c r="AC58" s="27"/>
      <c r="AD58" s="27"/>
      <c r="AE58" s="27"/>
      <c r="AF58" s="27"/>
    </row>
    <row r="59" spans="1:32" ht="28.95" customHeight="1" x14ac:dyDescent="0.3">
      <c r="A59" s="92"/>
      <c r="B59" s="92"/>
      <c r="C59" s="80"/>
      <c r="D59" s="92"/>
      <c r="E59" s="80"/>
      <c r="F59" s="2"/>
      <c r="G59" s="2"/>
      <c r="H59" s="25"/>
      <c r="I59" s="134"/>
      <c r="J59" s="2"/>
      <c r="K59" s="2"/>
      <c r="L59" s="2"/>
      <c r="M59" s="2"/>
      <c r="N59" s="85"/>
      <c r="O59" s="80" t="str">
        <f>IF(N59="","",VLOOKUP(N59,ROLES!B:C,2,FALSE))</f>
        <v/>
      </c>
      <c r="P59" s="15"/>
      <c r="Q59" s="15"/>
      <c r="R59" s="16">
        <f t="shared" si="2"/>
        <v>0</v>
      </c>
      <c r="S59" s="16"/>
      <c r="T59" s="80" t="str">
        <f>IF(S59="","",VLOOKUP(S59,VALORACION!F:G,2,FALSE))</f>
        <v/>
      </c>
      <c r="U59" s="11"/>
      <c r="V59" s="80" t="str">
        <f>IF(U59="","",VLOOKUP(U59,ROLES!G:H,2,FALSE))</f>
        <v/>
      </c>
      <c r="W59" s="11"/>
      <c r="X59" s="80" t="str">
        <f>IF(W59="","",VLOOKUP(W59,ROLES!I:J,2,FALSE))</f>
        <v/>
      </c>
      <c r="Y59" s="95" t="e">
        <f t="shared" si="1"/>
        <v>#VALUE!</v>
      </c>
      <c r="Z59" s="4"/>
      <c r="AA59" s="2"/>
      <c r="AC59" s="27"/>
      <c r="AD59" s="27"/>
      <c r="AE59" s="27"/>
      <c r="AF59" s="27"/>
    </row>
    <row r="60" spans="1:32" ht="28.95" customHeight="1" x14ac:dyDescent="0.3">
      <c r="A60" s="92"/>
      <c r="B60" s="92"/>
      <c r="C60" s="80"/>
      <c r="D60" s="92"/>
      <c r="E60" s="80"/>
      <c r="F60" s="2"/>
      <c r="G60" s="2"/>
      <c r="H60" s="25"/>
      <c r="I60" s="134"/>
      <c r="J60" s="2"/>
      <c r="K60" s="2"/>
      <c r="L60" s="2"/>
      <c r="M60" s="2"/>
      <c r="N60" s="85"/>
      <c r="O60" s="80" t="str">
        <f>IF(N60="","",VLOOKUP(N60,ROLES!B:C,2,FALSE))</f>
        <v/>
      </c>
      <c r="P60" s="15"/>
      <c r="Q60" s="15"/>
      <c r="R60" s="16">
        <f t="shared" si="2"/>
        <v>0</v>
      </c>
      <c r="S60" s="16"/>
      <c r="T60" s="80" t="str">
        <f>IF(S60="","",VLOOKUP(S60,VALORACION!F:G,2,FALSE))</f>
        <v/>
      </c>
      <c r="U60" s="11"/>
      <c r="V60" s="80" t="str">
        <f>IF(U60="","",VLOOKUP(U60,ROLES!G:H,2,FALSE))</f>
        <v/>
      </c>
      <c r="W60" s="11"/>
      <c r="X60" s="80" t="str">
        <f>IF(W60="","",VLOOKUP(W60,ROLES!I:J,2,FALSE))</f>
        <v/>
      </c>
      <c r="Y60" s="95" t="e">
        <f t="shared" si="1"/>
        <v>#VALUE!</v>
      </c>
      <c r="Z60" s="4"/>
      <c r="AA60" s="2"/>
      <c r="AC60" s="27"/>
      <c r="AD60" s="27"/>
      <c r="AE60" s="27"/>
      <c r="AF60" s="27"/>
    </row>
    <row r="61" spans="1:32" ht="28.95" customHeight="1" x14ac:dyDescent="0.3">
      <c r="A61" s="92"/>
      <c r="B61" s="92"/>
      <c r="C61" s="80"/>
      <c r="D61" s="92"/>
      <c r="E61" s="80"/>
      <c r="F61" s="2"/>
      <c r="G61" s="2"/>
      <c r="H61" s="25"/>
      <c r="I61" s="134"/>
      <c r="J61" s="2"/>
      <c r="K61" s="2"/>
      <c r="L61" s="2"/>
      <c r="M61" s="2"/>
      <c r="N61" s="85"/>
      <c r="O61" s="80" t="str">
        <f>IF(N61="","",VLOOKUP(N61,ROLES!B:C,2,FALSE))</f>
        <v/>
      </c>
      <c r="P61" s="15"/>
      <c r="Q61" s="15"/>
      <c r="R61" s="16">
        <f t="shared" si="2"/>
        <v>0</v>
      </c>
      <c r="S61" s="16"/>
      <c r="T61" s="80" t="str">
        <f>IF(S61="","",VLOOKUP(S61,VALORACION!F:G,2,FALSE))</f>
        <v/>
      </c>
      <c r="U61" s="11"/>
      <c r="V61" s="80" t="str">
        <f>IF(U61="","",VLOOKUP(U61,ROLES!G:H,2,FALSE))</f>
        <v/>
      </c>
      <c r="W61" s="11"/>
      <c r="X61" s="80" t="str">
        <f>IF(W61="","",VLOOKUP(W61,ROLES!I:J,2,FALSE))</f>
        <v/>
      </c>
      <c r="Y61" s="95" t="e">
        <f t="shared" si="1"/>
        <v>#VALUE!</v>
      </c>
      <c r="Z61" s="4"/>
      <c r="AA61" s="2"/>
      <c r="AC61" s="27"/>
      <c r="AD61" s="27"/>
      <c r="AE61" s="27"/>
      <c r="AF61" s="27"/>
    </row>
    <row r="62" spans="1:32" ht="28.95" customHeight="1" x14ac:dyDescent="0.3">
      <c r="A62" s="92"/>
      <c r="B62" s="92"/>
      <c r="C62" s="80"/>
      <c r="D62" s="92"/>
      <c r="E62" s="80"/>
      <c r="F62" s="2"/>
      <c r="G62" s="2"/>
      <c r="H62" s="25"/>
      <c r="I62" s="134"/>
      <c r="J62" s="2"/>
      <c r="K62" s="2"/>
      <c r="L62" s="2"/>
      <c r="M62" s="2"/>
      <c r="N62" s="85"/>
      <c r="O62" s="80" t="str">
        <f>IF(N62="","",VLOOKUP(N62,ROLES!B:C,2,FALSE))</f>
        <v/>
      </c>
      <c r="P62" s="15"/>
      <c r="Q62" s="15"/>
      <c r="R62" s="16">
        <f t="shared" si="2"/>
        <v>0</v>
      </c>
      <c r="S62" s="16"/>
      <c r="T62" s="80" t="str">
        <f>IF(S62="","",VLOOKUP(S62,VALORACION!F:G,2,FALSE))</f>
        <v/>
      </c>
      <c r="U62" s="11"/>
      <c r="V62" s="80" t="str">
        <f>IF(U62="","",VLOOKUP(U62,ROLES!G:H,2,FALSE))</f>
        <v/>
      </c>
      <c r="W62" s="11"/>
      <c r="X62" s="80" t="str">
        <f>IF(W62="","",VLOOKUP(W62,ROLES!I:J,2,FALSE))</f>
        <v/>
      </c>
      <c r="Y62" s="95" t="e">
        <f t="shared" si="1"/>
        <v>#VALUE!</v>
      </c>
      <c r="Z62" s="4"/>
      <c r="AA62" s="2"/>
      <c r="AC62" s="27"/>
      <c r="AD62" s="27"/>
      <c r="AE62" s="27"/>
      <c r="AF62" s="27"/>
    </row>
    <row r="63" spans="1:32" ht="28.95" customHeight="1" x14ac:dyDescent="0.3">
      <c r="A63" s="92"/>
      <c r="B63" s="92"/>
      <c r="C63" s="80"/>
      <c r="D63" s="92"/>
      <c r="E63" s="80"/>
      <c r="F63" s="2"/>
      <c r="G63" s="2"/>
      <c r="H63" s="25"/>
      <c r="I63" s="134"/>
      <c r="J63" s="2"/>
      <c r="K63" s="2"/>
      <c r="L63" s="2"/>
      <c r="M63" s="2"/>
      <c r="N63" s="85"/>
      <c r="O63" s="80" t="str">
        <f>IF(N63="","",VLOOKUP(N63,ROLES!B:C,2,FALSE))</f>
        <v/>
      </c>
      <c r="P63" s="15"/>
      <c r="Q63" s="15"/>
      <c r="R63" s="16">
        <f t="shared" si="2"/>
        <v>0</v>
      </c>
      <c r="S63" s="16"/>
      <c r="T63" s="80" t="str">
        <f>IF(S63="","",VLOOKUP(S63,VALORACION!F:G,2,FALSE))</f>
        <v/>
      </c>
      <c r="U63" s="11"/>
      <c r="V63" s="80" t="str">
        <f>IF(U63="","",VLOOKUP(U63,ROLES!G:H,2,FALSE))</f>
        <v/>
      </c>
      <c r="W63" s="11"/>
      <c r="X63" s="80" t="str">
        <f>IF(W63="","",VLOOKUP(W63,ROLES!I:J,2,FALSE))</f>
        <v/>
      </c>
      <c r="Y63" s="95" t="e">
        <f t="shared" si="1"/>
        <v>#VALUE!</v>
      </c>
      <c r="Z63" s="4"/>
      <c r="AA63" s="2"/>
      <c r="AC63" s="27"/>
      <c r="AD63" s="27"/>
      <c r="AE63" s="27"/>
      <c r="AF63" s="27"/>
    </row>
    <row r="64" spans="1:32" ht="28.95" customHeight="1" x14ac:dyDescent="0.3">
      <c r="A64" s="92"/>
      <c r="B64" s="92"/>
      <c r="C64" s="80"/>
      <c r="D64" s="92"/>
      <c r="E64" s="80"/>
      <c r="F64" s="2"/>
      <c r="G64" s="2"/>
      <c r="H64" s="25"/>
      <c r="I64" s="134"/>
      <c r="J64" s="2"/>
      <c r="K64" s="2"/>
      <c r="L64" s="2"/>
      <c r="M64" s="2"/>
      <c r="N64" s="85"/>
      <c r="O64" s="80" t="str">
        <f>IF(N64="","",VLOOKUP(N64,ROLES!B:C,2,FALSE))</f>
        <v/>
      </c>
      <c r="P64" s="15"/>
      <c r="Q64" s="15"/>
      <c r="R64" s="16">
        <f t="shared" si="2"/>
        <v>0</v>
      </c>
      <c r="S64" s="16"/>
      <c r="T64" s="80" t="str">
        <f>IF(S64="","",VLOOKUP(S64,VALORACION!F:G,2,FALSE))</f>
        <v/>
      </c>
      <c r="U64" s="11"/>
      <c r="V64" s="80" t="str">
        <f>IF(U64="","",VLOOKUP(U64,ROLES!G:H,2,FALSE))</f>
        <v/>
      </c>
      <c r="W64" s="11"/>
      <c r="X64" s="80" t="str">
        <f>IF(W64="","",VLOOKUP(W64,ROLES!I:J,2,FALSE))</f>
        <v/>
      </c>
      <c r="Y64" s="95" t="e">
        <f t="shared" si="1"/>
        <v>#VALUE!</v>
      </c>
      <c r="Z64" s="4"/>
      <c r="AA64" s="2"/>
      <c r="AC64" s="27"/>
      <c r="AD64" s="27"/>
      <c r="AE64" s="27"/>
      <c r="AF64" s="27"/>
    </row>
    <row r="65" spans="1:32" ht="28.95" customHeight="1" x14ac:dyDescent="0.3">
      <c r="A65" s="92"/>
      <c r="B65" s="92"/>
      <c r="C65" s="80"/>
      <c r="D65" s="92"/>
      <c r="E65" s="80"/>
      <c r="F65" s="2"/>
      <c r="G65" s="2"/>
      <c r="H65" s="25"/>
      <c r="I65" s="134"/>
      <c r="J65" s="2"/>
      <c r="K65" s="2"/>
      <c r="L65" s="2"/>
      <c r="M65" s="2"/>
      <c r="N65" s="85"/>
      <c r="O65" s="80" t="str">
        <f>IF(N65="","",VLOOKUP(N65,ROLES!B:C,2,FALSE))</f>
        <v/>
      </c>
      <c r="P65" s="15"/>
      <c r="Q65" s="15"/>
      <c r="R65" s="16">
        <f t="shared" si="2"/>
        <v>0</v>
      </c>
      <c r="S65" s="16"/>
      <c r="T65" s="80" t="str">
        <f>IF(S65="","",VLOOKUP(S65,VALORACION!F:G,2,FALSE))</f>
        <v/>
      </c>
      <c r="U65" s="11"/>
      <c r="V65" s="80" t="str">
        <f>IF(U65="","",VLOOKUP(U65,ROLES!G:H,2,FALSE))</f>
        <v/>
      </c>
      <c r="W65" s="11"/>
      <c r="X65" s="80" t="str">
        <f>IF(W65="","",VLOOKUP(W65,ROLES!I:J,2,FALSE))</f>
        <v/>
      </c>
      <c r="Y65" s="95" t="e">
        <f t="shared" si="1"/>
        <v>#VALUE!</v>
      </c>
      <c r="Z65" s="4"/>
      <c r="AA65" s="2"/>
      <c r="AC65" s="27"/>
      <c r="AD65" s="27"/>
      <c r="AE65" s="27"/>
      <c r="AF65" s="27"/>
    </row>
    <row r="66" spans="1:32" ht="28.95" customHeight="1" x14ac:dyDescent="0.3">
      <c r="A66" s="92"/>
      <c r="B66" s="92"/>
      <c r="C66" s="80"/>
      <c r="D66" s="92"/>
      <c r="E66" s="80"/>
      <c r="F66" s="2"/>
      <c r="G66" s="2"/>
      <c r="H66" s="25"/>
      <c r="I66" s="134"/>
      <c r="J66" s="2"/>
      <c r="K66" s="2"/>
      <c r="L66" s="2"/>
      <c r="M66" s="2"/>
      <c r="N66" s="85"/>
      <c r="O66" s="80" t="str">
        <f>IF(N66="","",VLOOKUP(N66,ROLES!B:C,2,FALSE))</f>
        <v/>
      </c>
      <c r="P66" s="15"/>
      <c r="Q66" s="15"/>
      <c r="R66" s="16">
        <f t="shared" si="2"/>
        <v>0</v>
      </c>
      <c r="S66" s="16"/>
      <c r="T66" s="80" t="str">
        <f>IF(S66="","",VLOOKUP(S66,VALORACION!F:G,2,FALSE))</f>
        <v/>
      </c>
      <c r="U66" s="11"/>
      <c r="V66" s="80" t="str">
        <f>IF(U66="","",VLOOKUP(U66,ROLES!G:H,2,FALSE))</f>
        <v/>
      </c>
      <c r="W66" s="11"/>
      <c r="X66" s="80" t="str">
        <f>IF(W66="","",VLOOKUP(W66,ROLES!I:J,2,FALSE))</f>
        <v/>
      </c>
      <c r="Y66" s="95" t="e">
        <f t="shared" si="1"/>
        <v>#VALUE!</v>
      </c>
      <c r="Z66" s="4"/>
      <c r="AA66" s="2"/>
      <c r="AC66" s="27"/>
      <c r="AD66" s="27"/>
      <c r="AE66" s="27"/>
      <c r="AF66" s="27"/>
    </row>
    <row r="67" spans="1:32" ht="28.95" customHeight="1" x14ac:dyDescent="0.3">
      <c r="A67" s="92"/>
      <c r="B67" s="92"/>
      <c r="C67" s="80"/>
      <c r="D67" s="92"/>
      <c r="E67" s="80"/>
      <c r="F67" s="2"/>
      <c r="G67" s="2"/>
      <c r="H67" s="25"/>
      <c r="I67" s="134"/>
      <c r="J67" s="2"/>
      <c r="K67" s="2"/>
      <c r="L67" s="2"/>
      <c r="M67" s="2"/>
      <c r="N67" s="85"/>
      <c r="O67" s="80" t="str">
        <f>IF(N67="","",VLOOKUP(N67,ROLES!B:C,2,FALSE))</f>
        <v/>
      </c>
      <c r="P67" s="15"/>
      <c r="Q67" s="15"/>
      <c r="R67" s="16">
        <f t="shared" si="2"/>
        <v>0</v>
      </c>
      <c r="S67" s="16"/>
      <c r="T67" s="80" t="str">
        <f>IF(S67="","",VLOOKUP(S67,VALORACION!F:G,2,FALSE))</f>
        <v/>
      </c>
      <c r="U67" s="11"/>
      <c r="V67" s="80" t="str">
        <f>IF(U67="","",VLOOKUP(U67,ROLES!G:H,2,FALSE))</f>
        <v/>
      </c>
      <c r="W67" s="11"/>
      <c r="X67" s="80" t="str">
        <f>IF(W67="","",VLOOKUP(W67,ROLES!I:J,2,FALSE))</f>
        <v/>
      </c>
      <c r="Y67" s="95" t="e">
        <f t="shared" si="1"/>
        <v>#VALUE!</v>
      </c>
      <c r="Z67" s="4"/>
      <c r="AA67" s="2"/>
      <c r="AC67" s="27"/>
      <c r="AD67" s="27"/>
      <c r="AE67" s="27"/>
      <c r="AF67" s="27"/>
    </row>
    <row r="68" spans="1:32" ht="28.95" customHeight="1" x14ac:dyDescent="0.3">
      <c r="A68" s="92"/>
      <c r="B68" s="92"/>
      <c r="C68" s="80"/>
      <c r="D68" s="92"/>
      <c r="E68" s="80"/>
      <c r="F68" s="2"/>
      <c r="G68" s="2"/>
      <c r="H68" s="25"/>
      <c r="I68" s="134"/>
      <c r="J68" s="2"/>
      <c r="K68" s="2"/>
      <c r="L68" s="2"/>
      <c r="M68" s="2"/>
      <c r="N68" s="85"/>
      <c r="O68" s="80" t="str">
        <f>IF(N68="","",VLOOKUP(N68,ROLES!B:C,2,FALSE))</f>
        <v/>
      </c>
      <c r="P68" s="15"/>
      <c r="Q68" s="15"/>
      <c r="R68" s="16">
        <f t="shared" si="2"/>
        <v>0</v>
      </c>
      <c r="S68" s="16"/>
      <c r="T68" s="80" t="str">
        <f>IF(S68="","",VLOOKUP(S68,VALORACION!F:G,2,FALSE))</f>
        <v/>
      </c>
      <c r="U68" s="11"/>
      <c r="V68" s="80" t="str">
        <f>IF(U68="","",VLOOKUP(U68,ROLES!G:H,2,FALSE))</f>
        <v/>
      </c>
      <c r="W68" s="11"/>
      <c r="X68" s="80" t="str">
        <f>IF(W68="","",VLOOKUP(W68,ROLES!I:J,2,FALSE))</f>
        <v/>
      </c>
      <c r="Y68" s="95" t="e">
        <f t="shared" si="1"/>
        <v>#VALUE!</v>
      </c>
      <c r="Z68" s="4"/>
      <c r="AA68" s="2"/>
      <c r="AC68" s="27"/>
      <c r="AD68" s="27"/>
      <c r="AE68" s="27"/>
      <c r="AF68" s="27"/>
    </row>
    <row r="69" spans="1:32" ht="28.95" customHeight="1" x14ac:dyDescent="0.3">
      <c r="A69" s="92"/>
      <c r="B69" s="92"/>
      <c r="C69" s="80"/>
      <c r="D69" s="92"/>
      <c r="E69" s="80"/>
      <c r="F69" s="2"/>
      <c r="G69" s="2"/>
      <c r="H69" s="25"/>
      <c r="I69" s="134"/>
      <c r="J69" s="2"/>
      <c r="K69" s="2"/>
      <c r="L69" s="2"/>
      <c r="M69" s="2"/>
      <c r="N69" s="85"/>
      <c r="O69" s="80" t="str">
        <f>IF(N69="","",VLOOKUP(N69,ROLES!B:C,2,FALSE))</f>
        <v/>
      </c>
      <c r="P69" s="15"/>
      <c r="Q69" s="15"/>
      <c r="R69" s="16">
        <f t="shared" si="2"/>
        <v>0</v>
      </c>
      <c r="S69" s="16"/>
      <c r="T69" s="80" t="str">
        <f>IF(S69="","",VLOOKUP(S69,VALORACION!F:G,2,FALSE))</f>
        <v/>
      </c>
      <c r="U69" s="11"/>
      <c r="V69" s="80" t="str">
        <f>IF(U69="","",VLOOKUP(U69,ROLES!G:H,2,FALSE))</f>
        <v/>
      </c>
      <c r="W69" s="11"/>
      <c r="X69" s="80" t="str">
        <f>IF(W69="","",VLOOKUP(W69,ROLES!I:J,2,FALSE))</f>
        <v/>
      </c>
      <c r="Y69" s="95" t="e">
        <f t="shared" ref="Y69:Y132" si="3">(VALUE(O69)+VALUE(V69)+VALUE(X69)+VALUE(T69))/3</f>
        <v>#VALUE!</v>
      </c>
      <c r="Z69" s="4"/>
      <c r="AA69" s="2"/>
      <c r="AC69" s="27"/>
      <c r="AD69" s="27"/>
      <c r="AE69" s="27"/>
      <c r="AF69" s="27"/>
    </row>
    <row r="70" spans="1:32" ht="28.95" customHeight="1" x14ac:dyDescent="0.3">
      <c r="A70" s="92"/>
      <c r="B70" s="92"/>
      <c r="C70" s="80"/>
      <c r="D70" s="92"/>
      <c r="E70" s="80"/>
      <c r="F70" s="2"/>
      <c r="G70" s="2"/>
      <c r="H70" s="25"/>
      <c r="I70" s="134"/>
      <c r="J70" s="2"/>
      <c r="K70" s="2"/>
      <c r="L70" s="2"/>
      <c r="M70" s="2"/>
      <c r="N70" s="85"/>
      <c r="O70" s="80" t="str">
        <f>IF(N70="","",VLOOKUP(N70,ROLES!B:C,2,FALSE))</f>
        <v/>
      </c>
      <c r="P70" s="15"/>
      <c r="Q70" s="15"/>
      <c r="R70" s="16">
        <f t="shared" si="2"/>
        <v>0</v>
      </c>
      <c r="S70" s="16"/>
      <c r="T70" s="80" t="str">
        <f>IF(S70="","",VLOOKUP(S70,VALORACION!F:G,2,FALSE))</f>
        <v/>
      </c>
      <c r="U70" s="11"/>
      <c r="V70" s="80" t="str">
        <f>IF(U70="","",VLOOKUP(U70,ROLES!G:H,2,FALSE))</f>
        <v/>
      </c>
      <c r="W70" s="11"/>
      <c r="X70" s="80" t="str">
        <f>IF(W70="","",VLOOKUP(W70,ROLES!I:J,2,FALSE))</f>
        <v/>
      </c>
      <c r="Y70" s="95" t="e">
        <f t="shared" si="3"/>
        <v>#VALUE!</v>
      </c>
      <c r="Z70" s="4"/>
      <c r="AA70" s="2"/>
      <c r="AC70" s="27"/>
      <c r="AD70" s="27"/>
      <c r="AE70" s="27"/>
      <c r="AF70" s="27"/>
    </row>
    <row r="71" spans="1:32" ht="28.95" customHeight="1" x14ac:dyDescent="0.3">
      <c r="A71" s="92"/>
      <c r="B71" s="92"/>
      <c r="C71" s="80"/>
      <c r="D71" s="92"/>
      <c r="E71" s="80"/>
      <c r="F71" s="2"/>
      <c r="G71" s="2"/>
      <c r="H71" s="25"/>
      <c r="I71" s="134"/>
      <c r="J71" s="2"/>
      <c r="K71" s="2"/>
      <c r="L71" s="2"/>
      <c r="M71" s="2"/>
      <c r="N71" s="85"/>
      <c r="O71" s="80" t="str">
        <f>IF(N71="","",VLOOKUP(N71,ROLES!B:C,2,FALSE))</f>
        <v/>
      </c>
      <c r="P71" s="15"/>
      <c r="Q71" s="15"/>
      <c r="R71" s="16">
        <f t="shared" ref="R71:R134" si="4">DATEDIF(P71,Q71,"m")</f>
        <v>0</v>
      </c>
      <c r="S71" s="16"/>
      <c r="T71" s="80" t="str">
        <f>IF(S71="","",VLOOKUP(S71,VALORACION!F:G,2,FALSE))</f>
        <v/>
      </c>
      <c r="U71" s="11"/>
      <c r="V71" s="80" t="str">
        <f>IF(U71="","",VLOOKUP(U71,ROLES!G:H,2,FALSE))</f>
        <v/>
      </c>
      <c r="W71" s="11"/>
      <c r="X71" s="80" t="str">
        <f>IF(W71="","",VLOOKUP(W71,ROLES!I:J,2,FALSE))</f>
        <v/>
      </c>
      <c r="Y71" s="95" t="e">
        <f t="shared" si="3"/>
        <v>#VALUE!</v>
      </c>
      <c r="Z71" s="4"/>
      <c r="AA71" s="2"/>
      <c r="AC71" s="27"/>
      <c r="AD71" s="27"/>
      <c r="AE71" s="27"/>
      <c r="AF71" s="27"/>
    </row>
    <row r="72" spans="1:32" ht="28.95" customHeight="1" x14ac:dyDescent="0.3">
      <c r="A72" s="92"/>
      <c r="B72" s="92"/>
      <c r="C72" s="80"/>
      <c r="D72" s="92"/>
      <c r="E72" s="80"/>
      <c r="F72" s="2"/>
      <c r="G72" s="2"/>
      <c r="H72" s="25"/>
      <c r="I72" s="134"/>
      <c r="J72" s="2"/>
      <c r="K72" s="2"/>
      <c r="L72" s="2"/>
      <c r="M72" s="2"/>
      <c r="N72" s="85"/>
      <c r="O72" s="80" t="str">
        <f>IF(N72="","",VLOOKUP(N72,ROLES!B:C,2,FALSE))</f>
        <v/>
      </c>
      <c r="P72" s="15"/>
      <c r="Q72" s="15"/>
      <c r="R72" s="16">
        <f t="shared" si="4"/>
        <v>0</v>
      </c>
      <c r="S72" s="16"/>
      <c r="T72" s="80" t="str">
        <f>IF(S72="","",VLOOKUP(S72,VALORACION!F:G,2,FALSE))</f>
        <v/>
      </c>
      <c r="U72" s="11"/>
      <c r="V72" s="80" t="str">
        <f>IF(U72="","",VLOOKUP(U72,ROLES!G:H,2,FALSE))</f>
        <v/>
      </c>
      <c r="W72" s="11"/>
      <c r="X72" s="80" t="str">
        <f>IF(W72="","",VLOOKUP(W72,ROLES!I:J,2,FALSE))</f>
        <v/>
      </c>
      <c r="Y72" s="95" t="e">
        <f t="shared" si="3"/>
        <v>#VALUE!</v>
      </c>
      <c r="Z72" s="4"/>
      <c r="AA72" s="2"/>
      <c r="AC72" s="27"/>
      <c r="AD72" s="27"/>
      <c r="AE72" s="27"/>
      <c r="AF72" s="27"/>
    </row>
    <row r="73" spans="1:32" ht="28.95" customHeight="1" x14ac:dyDescent="0.3">
      <c r="A73" s="92"/>
      <c r="B73" s="92"/>
      <c r="C73" s="80"/>
      <c r="D73" s="92"/>
      <c r="E73" s="80"/>
      <c r="F73" s="2"/>
      <c r="G73" s="2"/>
      <c r="H73" s="25"/>
      <c r="I73" s="134"/>
      <c r="J73" s="2"/>
      <c r="K73" s="2"/>
      <c r="L73" s="2"/>
      <c r="M73" s="2"/>
      <c r="N73" s="85"/>
      <c r="O73" s="80" t="str">
        <f>IF(N73="","",VLOOKUP(N73,ROLES!B:C,2,FALSE))</f>
        <v/>
      </c>
      <c r="P73" s="15"/>
      <c r="Q73" s="15"/>
      <c r="R73" s="16">
        <f t="shared" si="4"/>
        <v>0</v>
      </c>
      <c r="S73" s="16"/>
      <c r="T73" s="80" t="str">
        <f>IF(S73="","",VLOOKUP(S73,VALORACION!F:G,2,FALSE))</f>
        <v/>
      </c>
      <c r="U73" s="11"/>
      <c r="V73" s="80" t="str">
        <f>IF(U73="","",VLOOKUP(U73,ROLES!G:H,2,FALSE))</f>
        <v/>
      </c>
      <c r="W73" s="11"/>
      <c r="X73" s="80" t="str">
        <f>IF(W73="","",VLOOKUP(W73,ROLES!I:J,2,FALSE))</f>
        <v/>
      </c>
      <c r="Y73" s="95" t="e">
        <f t="shared" si="3"/>
        <v>#VALUE!</v>
      </c>
      <c r="Z73" s="4"/>
      <c r="AA73" s="2"/>
      <c r="AC73" s="27"/>
      <c r="AD73" s="27"/>
      <c r="AE73" s="27"/>
      <c r="AF73" s="27"/>
    </row>
    <row r="74" spans="1:32" ht="28.95" customHeight="1" x14ac:dyDescent="0.3">
      <c r="A74" s="92"/>
      <c r="B74" s="92"/>
      <c r="C74" s="80"/>
      <c r="D74" s="92"/>
      <c r="E74" s="80"/>
      <c r="F74" s="2"/>
      <c r="G74" s="2"/>
      <c r="H74" s="25"/>
      <c r="I74" s="134"/>
      <c r="J74" s="2"/>
      <c r="K74" s="2"/>
      <c r="L74" s="2"/>
      <c r="M74" s="2"/>
      <c r="N74" s="85"/>
      <c r="O74" s="80" t="str">
        <f>IF(N74="","",VLOOKUP(N74,ROLES!B:C,2,FALSE))</f>
        <v/>
      </c>
      <c r="P74" s="15"/>
      <c r="Q74" s="15"/>
      <c r="R74" s="16">
        <f t="shared" si="4"/>
        <v>0</v>
      </c>
      <c r="S74" s="16"/>
      <c r="T74" s="80" t="str">
        <f>IF(S74="","",VLOOKUP(S74,VALORACION!F:G,2,FALSE))</f>
        <v/>
      </c>
      <c r="U74" s="11"/>
      <c r="V74" s="80" t="str">
        <f>IF(U74="","",VLOOKUP(U74,ROLES!G:H,2,FALSE))</f>
        <v/>
      </c>
      <c r="W74" s="11"/>
      <c r="X74" s="80" t="str">
        <f>IF(W74="","",VLOOKUP(W74,ROLES!I:J,2,FALSE))</f>
        <v/>
      </c>
      <c r="Y74" s="95" t="e">
        <f t="shared" si="3"/>
        <v>#VALUE!</v>
      </c>
      <c r="Z74" s="4"/>
      <c r="AA74" s="2"/>
      <c r="AC74" s="27"/>
      <c r="AD74" s="27"/>
      <c r="AE74" s="27"/>
      <c r="AF74" s="27"/>
    </row>
    <row r="75" spans="1:32" ht="28.95" customHeight="1" x14ac:dyDescent="0.3">
      <c r="A75" s="92"/>
      <c r="B75" s="92"/>
      <c r="C75" s="80"/>
      <c r="D75" s="92"/>
      <c r="E75" s="80"/>
      <c r="F75" s="2"/>
      <c r="G75" s="2"/>
      <c r="H75" s="25"/>
      <c r="I75" s="134"/>
      <c r="J75" s="2"/>
      <c r="K75" s="2"/>
      <c r="L75" s="2"/>
      <c r="M75" s="2"/>
      <c r="N75" s="85"/>
      <c r="O75" s="80" t="str">
        <f>IF(N75="","",VLOOKUP(N75,ROLES!B:C,2,FALSE))</f>
        <v/>
      </c>
      <c r="P75" s="15"/>
      <c r="Q75" s="15"/>
      <c r="R75" s="16">
        <f t="shared" si="4"/>
        <v>0</v>
      </c>
      <c r="S75" s="16"/>
      <c r="T75" s="80" t="str">
        <f>IF(S75="","",VLOOKUP(S75,VALORACION!F:G,2,FALSE))</f>
        <v/>
      </c>
      <c r="U75" s="11"/>
      <c r="V75" s="80" t="str">
        <f>IF(U75="","",VLOOKUP(U75,ROLES!G:H,2,FALSE))</f>
        <v/>
      </c>
      <c r="W75" s="11"/>
      <c r="X75" s="80" t="str">
        <f>IF(W75="","",VLOOKUP(W75,ROLES!I:J,2,FALSE))</f>
        <v/>
      </c>
      <c r="Y75" s="95" t="e">
        <f t="shared" si="3"/>
        <v>#VALUE!</v>
      </c>
      <c r="Z75" s="4"/>
      <c r="AA75" s="2"/>
      <c r="AC75" s="27"/>
      <c r="AD75" s="27"/>
      <c r="AE75" s="27"/>
      <c r="AF75" s="27"/>
    </row>
    <row r="76" spans="1:32" ht="28.95" customHeight="1" x14ac:dyDescent="0.3">
      <c r="A76" s="92"/>
      <c r="B76" s="92"/>
      <c r="C76" s="80"/>
      <c r="D76" s="92"/>
      <c r="E76" s="80"/>
      <c r="F76" s="2"/>
      <c r="G76" s="2"/>
      <c r="H76" s="25"/>
      <c r="I76" s="134"/>
      <c r="J76" s="2"/>
      <c r="K76" s="2"/>
      <c r="L76" s="2"/>
      <c r="M76" s="2"/>
      <c r="N76" s="85"/>
      <c r="O76" s="80" t="str">
        <f>IF(N76="","",VLOOKUP(N76,ROLES!B:C,2,FALSE))</f>
        <v/>
      </c>
      <c r="P76" s="15"/>
      <c r="Q76" s="15"/>
      <c r="R76" s="16">
        <f t="shared" si="4"/>
        <v>0</v>
      </c>
      <c r="S76" s="16"/>
      <c r="T76" s="80" t="str">
        <f>IF(S76="","",VLOOKUP(S76,VALORACION!F:G,2,FALSE))</f>
        <v/>
      </c>
      <c r="U76" s="11"/>
      <c r="V76" s="80" t="str">
        <f>IF(U76="","",VLOOKUP(U76,ROLES!G:H,2,FALSE))</f>
        <v/>
      </c>
      <c r="W76" s="11"/>
      <c r="X76" s="80" t="str">
        <f>IF(W76="","",VLOOKUP(W76,ROLES!I:J,2,FALSE))</f>
        <v/>
      </c>
      <c r="Y76" s="95" t="e">
        <f t="shared" si="3"/>
        <v>#VALUE!</v>
      </c>
      <c r="Z76" s="4"/>
      <c r="AA76" s="2"/>
      <c r="AC76" s="27"/>
      <c r="AD76" s="27"/>
      <c r="AE76" s="27"/>
      <c r="AF76" s="27"/>
    </row>
    <row r="77" spans="1:32" ht="28.95" customHeight="1" x14ac:dyDescent="0.3">
      <c r="A77" s="91"/>
      <c r="B77" s="91"/>
      <c r="C77" s="80"/>
      <c r="D77" s="91"/>
      <c r="E77" s="80"/>
      <c r="F77" s="6"/>
      <c r="G77" s="6"/>
      <c r="H77" s="25"/>
      <c r="I77" s="133"/>
      <c r="J77" s="6"/>
      <c r="K77" s="6"/>
      <c r="L77" s="6"/>
      <c r="M77" s="6"/>
      <c r="N77" s="84"/>
      <c r="O77" s="80" t="str">
        <f>IF(N77="","",VLOOKUP(N77,ROLES!B:C,2,FALSE))</f>
        <v/>
      </c>
      <c r="P77" s="15"/>
      <c r="Q77" s="15"/>
      <c r="R77" s="16">
        <f t="shared" si="4"/>
        <v>0</v>
      </c>
      <c r="S77" s="16"/>
      <c r="T77" s="80" t="str">
        <f>IF(S77="","",VLOOKUP(S77,VALORACION!F:G,2,FALSE))</f>
        <v/>
      </c>
      <c r="U77" s="11"/>
      <c r="V77" s="80" t="str">
        <f>IF(U77="","",VLOOKUP(U77,ROLES!G:H,2,FALSE))</f>
        <v/>
      </c>
      <c r="W77" s="11"/>
      <c r="X77" s="80" t="str">
        <f>IF(W77="","",VLOOKUP(W77,ROLES!I:J,2,FALSE))</f>
        <v/>
      </c>
      <c r="Y77" s="95" t="e">
        <f t="shared" si="3"/>
        <v>#VALUE!</v>
      </c>
      <c r="Z77" s="6"/>
      <c r="AA77" s="6"/>
    </row>
    <row r="78" spans="1:32" ht="28.95" customHeight="1" x14ac:dyDescent="0.3">
      <c r="A78" s="91"/>
      <c r="B78" s="91"/>
      <c r="C78" s="80"/>
      <c r="D78" s="91"/>
      <c r="E78" s="80"/>
      <c r="F78" s="6"/>
      <c r="G78" s="6"/>
      <c r="H78" s="25"/>
      <c r="I78" s="133"/>
      <c r="J78" s="6"/>
      <c r="K78" s="6"/>
      <c r="L78" s="6"/>
      <c r="M78" s="6"/>
      <c r="N78" s="84"/>
      <c r="O78" s="80" t="str">
        <f>IF(N78="","",VLOOKUP(N78,ROLES!B:C,2,FALSE))</f>
        <v/>
      </c>
      <c r="P78" s="15"/>
      <c r="Q78" s="15"/>
      <c r="R78" s="16">
        <f t="shared" si="4"/>
        <v>0</v>
      </c>
      <c r="S78" s="16"/>
      <c r="T78" s="80" t="str">
        <f>IF(S78="","",VLOOKUP(S78,VALORACION!F:G,2,FALSE))</f>
        <v/>
      </c>
      <c r="U78" s="11"/>
      <c r="V78" s="80" t="str">
        <f>IF(U78="","",VLOOKUP(U78,ROLES!G:H,2,FALSE))</f>
        <v/>
      </c>
      <c r="W78" s="11"/>
      <c r="X78" s="80" t="str">
        <f>IF(W78="","",VLOOKUP(W78,ROLES!I:J,2,FALSE))</f>
        <v/>
      </c>
      <c r="Y78" s="95" t="e">
        <f t="shared" si="3"/>
        <v>#VALUE!</v>
      </c>
      <c r="Z78" s="6"/>
      <c r="AA78" s="6"/>
    </row>
    <row r="79" spans="1:32" ht="28.95" customHeight="1" x14ac:dyDescent="0.3">
      <c r="A79" s="91"/>
      <c r="B79" s="91"/>
      <c r="C79" s="80"/>
      <c r="D79" s="91"/>
      <c r="E79" s="80"/>
      <c r="F79" s="6"/>
      <c r="G79" s="6"/>
      <c r="H79" s="25"/>
      <c r="I79" s="133"/>
      <c r="J79" s="6"/>
      <c r="K79" s="6"/>
      <c r="L79" s="6"/>
      <c r="M79" s="6"/>
      <c r="N79" s="84"/>
      <c r="O79" s="80" t="str">
        <f>IF(N79="","",VLOOKUP(N79,ROLES!B:C,2,FALSE))</f>
        <v/>
      </c>
      <c r="P79" s="15"/>
      <c r="Q79" s="15"/>
      <c r="R79" s="16">
        <f t="shared" si="4"/>
        <v>0</v>
      </c>
      <c r="S79" s="16"/>
      <c r="T79" s="80" t="str">
        <f>IF(S79="","",VLOOKUP(S79,VALORACION!F:G,2,FALSE))</f>
        <v/>
      </c>
      <c r="U79" s="11"/>
      <c r="V79" s="80" t="str">
        <f>IF(U79="","",VLOOKUP(U79,ROLES!G:H,2,FALSE))</f>
        <v/>
      </c>
      <c r="W79" s="11"/>
      <c r="X79" s="80" t="str">
        <f>IF(W79="","",VLOOKUP(W79,ROLES!I:J,2,FALSE))</f>
        <v/>
      </c>
      <c r="Y79" s="95" t="e">
        <f t="shared" si="3"/>
        <v>#VALUE!</v>
      </c>
      <c r="Z79" s="6"/>
      <c r="AA79" s="6"/>
    </row>
    <row r="80" spans="1:32" ht="28.95" customHeight="1" x14ac:dyDescent="0.3">
      <c r="A80" s="91"/>
      <c r="B80" s="91"/>
      <c r="C80" s="80"/>
      <c r="D80" s="91"/>
      <c r="E80" s="80"/>
      <c r="F80" s="6"/>
      <c r="G80" s="6"/>
      <c r="H80" s="25"/>
      <c r="I80" s="133"/>
      <c r="J80" s="6"/>
      <c r="K80" s="6"/>
      <c r="L80" s="6"/>
      <c r="M80" s="6"/>
      <c r="N80" s="84"/>
      <c r="O80" s="80" t="str">
        <f>IF(N80="","",VLOOKUP(N80,ROLES!B:C,2,FALSE))</f>
        <v/>
      </c>
      <c r="P80" s="15"/>
      <c r="Q80" s="15"/>
      <c r="R80" s="16">
        <f t="shared" si="4"/>
        <v>0</v>
      </c>
      <c r="S80" s="16"/>
      <c r="T80" s="80" t="str">
        <f>IF(S80="","",VLOOKUP(S80,VALORACION!F:G,2,FALSE))</f>
        <v/>
      </c>
      <c r="U80" s="11"/>
      <c r="V80" s="80" t="str">
        <f>IF(U80="","",VLOOKUP(U80,ROLES!G:H,2,FALSE))</f>
        <v/>
      </c>
      <c r="W80" s="11"/>
      <c r="X80" s="80" t="str">
        <f>IF(W80="","",VLOOKUP(W80,ROLES!I:J,2,FALSE))</f>
        <v/>
      </c>
      <c r="Y80" s="95" t="e">
        <f t="shared" si="3"/>
        <v>#VALUE!</v>
      </c>
      <c r="Z80" s="142"/>
      <c r="AA80" s="6"/>
    </row>
    <row r="81" spans="1:27" ht="28.95" customHeight="1" x14ac:dyDescent="0.3">
      <c r="A81" s="91"/>
      <c r="B81" s="91"/>
      <c r="C81" s="80"/>
      <c r="D81" s="91"/>
      <c r="E81" s="80"/>
      <c r="F81" s="6"/>
      <c r="G81" s="6"/>
      <c r="H81" s="25"/>
      <c r="I81" s="133"/>
      <c r="J81" s="6"/>
      <c r="K81" s="6"/>
      <c r="L81" s="6"/>
      <c r="M81" s="6"/>
      <c r="N81" s="84"/>
      <c r="O81" s="80" t="str">
        <f>IF(N81="","",VLOOKUP(N81,ROLES!B:C,2,FALSE))</f>
        <v/>
      </c>
      <c r="P81" s="15"/>
      <c r="Q81" s="15"/>
      <c r="R81" s="16">
        <f t="shared" si="4"/>
        <v>0</v>
      </c>
      <c r="S81" s="16"/>
      <c r="T81" s="80" t="str">
        <f>IF(S81="","",VLOOKUP(S81,VALORACION!F:G,2,FALSE))</f>
        <v/>
      </c>
      <c r="U81" s="11"/>
      <c r="V81" s="80" t="str">
        <f>IF(U81="","",VLOOKUP(U81,ROLES!G:H,2,FALSE))</f>
        <v/>
      </c>
      <c r="W81" s="11"/>
      <c r="X81" s="80" t="str">
        <f>IF(W81="","",VLOOKUP(W81,ROLES!I:J,2,FALSE))</f>
        <v/>
      </c>
      <c r="Y81" s="95" t="e">
        <f t="shared" si="3"/>
        <v>#VALUE!</v>
      </c>
      <c r="Z81" s="6"/>
      <c r="AA81" s="6"/>
    </row>
    <row r="82" spans="1:27" ht="28.95" customHeight="1" x14ac:dyDescent="0.3">
      <c r="A82" s="91"/>
      <c r="B82" s="91"/>
      <c r="C82" s="80"/>
      <c r="D82" s="91"/>
      <c r="E82" s="80"/>
      <c r="F82" s="6"/>
      <c r="G82" s="6"/>
      <c r="H82" s="25"/>
      <c r="I82" s="133"/>
      <c r="J82" s="6"/>
      <c r="K82" s="6"/>
      <c r="L82" s="6"/>
      <c r="M82" s="6"/>
      <c r="N82" s="84"/>
      <c r="O82" s="80" t="str">
        <f>IF(N82="","",VLOOKUP(N82,ROLES!B:C,2,FALSE))</f>
        <v/>
      </c>
      <c r="P82" s="15"/>
      <c r="Q82" s="15"/>
      <c r="R82" s="16">
        <f t="shared" si="4"/>
        <v>0</v>
      </c>
      <c r="S82" s="16"/>
      <c r="T82" s="80" t="str">
        <f>IF(S82="","",VLOOKUP(S82,VALORACION!F:G,2,FALSE))</f>
        <v/>
      </c>
      <c r="U82" s="11"/>
      <c r="V82" s="80" t="str">
        <f>IF(U82="","",VLOOKUP(U82,ROLES!G:H,2,FALSE))</f>
        <v/>
      </c>
      <c r="W82" s="11"/>
      <c r="X82" s="80" t="str">
        <f>IF(W82="","",VLOOKUP(W82,ROLES!I:J,2,FALSE))</f>
        <v/>
      </c>
      <c r="Y82" s="95" t="e">
        <f t="shared" si="3"/>
        <v>#VALUE!</v>
      </c>
      <c r="Z82" s="6"/>
      <c r="AA82" s="6"/>
    </row>
    <row r="83" spans="1:27" ht="28.95" customHeight="1" x14ac:dyDescent="0.3">
      <c r="A83" s="91"/>
      <c r="B83" s="91"/>
      <c r="C83" s="80"/>
      <c r="D83" s="91"/>
      <c r="E83" s="80"/>
      <c r="F83" s="6"/>
      <c r="G83" s="6"/>
      <c r="H83" s="25"/>
      <c r="I83" s="133"/>
      <c r="J83" s="6"/>
      <c r="K83" s="6"/>
      <c r="L83" s="6"/>
      <c r="M83" s="6"/>
      <c r="N83" s="84"/>
      <c r="O83" s="80" t="str">
        <f>IF(N83="","",VLOOKUP(N83,ROLES!B:C,2,FALSE))</f>
        <v/>
      </c>
      <c r="P83" s="15"/>
      <c r="Q83" s="15"/>
      <c r="R83" s="16">
        <f t="shared" si="4"/>
        <v>0</v>
      </c>
      <c r="S83" s="16"/>
      <c r="T83" s="80" t="str">
        <f>IF(S83="","",VLOOKUP(S83,VALORACION!F:G,2,FALSE))</f>
        <v/>
      </c>
      <c r="U83" s="11"/>
      <c r="V83" s="80" t="str">
        <f>IF(U83="","",VLOOKUP(U83,ROLES!G:H,2,FALSE))</f>
        <v/>
      </c>
      <c r="W83" s="11"/>
      <c r="X83" s="80" t="str">
        <f>IF(W83="","",VLOOKUP(W83,ROLES!I:J,2,FALSE))</f>
        <v/>
      </c>
      <c r="Y83" s="95" t="e">
        <f t="shared" si="3"/>
        <v>#VALUE!</v>
      </c>
      <c r="Z83" s="6"/>
      <c r="AA83" s="6"/>
    </row>
    <row r="84" spans="1:27" ht="28.95" customHeight="1" x14ac:dyDescent="0.3">
      <c r="A84" s="91"/>
      <c r="B84" s="91"/>
      <c r="C84" s="80"/>
      <c r="D84" s="91"/>
      <c r="E84" s="80"/>
      <c r="F84" s="6"/>
      <c r="G84" s="6"/>
      <c r="H84" s="25"/>
      <c r="I84" s="133"/>
      <c r="J84" s="6"/>
      <c r="K84" s="6"/>
      <c r="L84" s="6"/>
      <c r="M84" s="6"/>
      <c r="N84" s="84"/>
      <c r="O84" s="80" t="str">
        <f>IF(N84="","",VLOOKUP(N84,ROLES!B:C,2,FALSE))</f>
        <v/>
      </c>
      <c r="P84" s="15"/>
      <c r="Q84" s="15"/>
      <c r="R84" s="16">
        <f t="shared" si="4"/>
        <v>0</v>
      </c>
      <c r="S84" s="16"/>
      <c r="T84" s="80" t="str">
        <f>IF(S84="","",VLOOKUP(S84,VALORACION!F:G,2,FALSE))</f>
        <v/>
      </c>
      <c r="U84" s="11"/>
      <c r="V84" s="80" t="str">
        <f>IF(U84="","",VLOOKUP(U84,ROLES!G:H,2,FALSE))</f>
        <v/>
      </c>
      <c r="W84" s="11"/>
      <c r="X84" s="80" t="str">
        <f>IF(W84="","",VLOOKUP(W84,ROLES!I:J,2,FALSE))</f>
        <v/>
      </c>
      <c r="Y84" s="95" t="e">
        <f t="shared" si="3"/>
        <v>#VALUE!</v>
      </c>
      <c r="Z84" s="6"/>
      <c r="AA84" s="6"/>
    </row>
    <row r="85" spans="1:27" ht="28.95" customHeight="1" x14ac:dyDescent="0.3">
      <c r="A85" s="91"/>
      <c r="B85" s="91"/>
      <c r="C85" s="80"/>
      <c r="D85" s="91"/>
      <c r="E85" s="80"/>
      <c r="F85" s="6"/>
      <c r="G85" s="6"/>
      <c r="H85" s="25"/>
      <c r="I85" s="133"/>
      <c r="J85" s="6"/>
      <c r="K85" s="6"/>
      <c r="L85" s="6"/>
      <c r="M85" s="6"/>
      <c r="N85" s="84"/>
      <c r="O85" s="80" t="str">
        <f>IF(N85="","",VLOOKUP(N85,ROLES!B:C,2,FALSE))</f>
        <v/>
      </c>
      <c r="P85" s="15"/>
      <c r="Q85" s="15"/>
      <c r="R85" s="16">
        <f t="shared" si="4"/>
        <v>0</v>
      </c>
      <c r="S85" s="16"/>
      <c r="T85" s="80" t="str">
        <f>IF(S85="","",VLOOKUP(S85,VALORACION!F:G,2,FALSE))</f>
        <v/>
      </c>
      <c r="U85" s="11"/>
      <c r="V85" s="80" t="str">
        <f>IF(U85="","",VLOOKUP(U85,ROLES!G:H,2,FALSE))</f>
        <v/>
      </c>
      <c r="W85" s="11"/>
      <c r="X85" s="80" t="str">
        <f>IF(W85="","",VLOOKUP(W85,ROLES!I:J,2,FALSE))</f>
        <v/>
      </c>
      <c r="Y85" s="95" t="e">
        <f t="shared" si="3"/>
        <v>#VALUE!</v>
      </c>
      <c r="Z85" s="6"/>
      <c r="AA85" s="6"/>
    </row>
    <row r="86" spans="1:27" ht="28.95" customHeight="1" x14ac:dyDescent="0.3">
      <c r="A86" s="91"/>
      <c r="B86" s="91"/>
      <c r="C86" s="80"/>
      <c r="D86" s="91"/>
      <c r="E86" s="80"/>
      <c r="F86" s="6"/>
      <c r="G86" s="6"/>
      <c r="H86" s="25"/>
      <c r="I86" s="133"/>
      <c r="J86" s="6"/>
      <c r="K86" s="6"/>
      <c r="L86" s="6"/>
      <c r="M86" s="6"/>
      <c r="N86" s="84"/>
      <c r="O86" s="80" t="str">
        <f>IF(N86="","",VLOOKUP(N86,ROLES!B:C,2,FALSE))</f>
        <v/>
      </c>
      <c r="P86" s="15"/>
      <c r="Q86" s="15"/>
      <c r="R86" s="16">
        <f t="shared" si="4"/>
        <v>0</v>
      </c>
      <c r="S86" s="16"/>
      <c r="T86" s="80" t="str">
        <f>IF(S86="","",VLOOKUP(S86,VALORACION!F:G,2,FALSE))</f>
        <v/>
      </c>
      <c r="U86" s="11"/>
      <c r="V86" s="80" t="str">
        <f>IF(U86="","",VLOOKUP(U86,ROLES!G:H,2,FALSE))</f>
        <v/>
      </c>
      <c r="W86" s="11"/>
      <c r="X86" s="80" t="str">
        <f>IF(W86="","",VLOOKUP(W86,ROLES!I:J,2,FALSE))</f>
        <v/>
      </c>
      <c r="Y86" s="95" t="e">
        <f t="shared" si="3"/>
        <v>#VALUE!</v>
      </c>
      <c r="Z86" s="6"/>
      <c r="AA86" s="6"/>
    </row>
    <row r="87" spans="1:27" ht="28.95" customHeight="1" x14ac:dyDescent="0.3">
      <c r="A87" s="91"/>
      <c r="B87" s="91"/>
      <c r="C87" s="80"/>
      <c r="D87" s="91"/>
      <c r="E87" s="80"/>
      <c r="F87" s="6"/>
      <c r="G87" s="6"/>
      <c r="H87" s="25"/>
      <c r="I87" s="133"/>
      <c r="J87" s="6"/>
      <c r="K87" s="6"/>
      <c r="L87" s="6"/>
      <c r="M87" s="6"/>
      <c r="N87" s="84"/>
      <c r="O87" s="80" t="str">
        <f>IF(N87="","",VLOOKUP(N87,ROLES!B:C,2,FALSE))</f>
        <v/>
      </c>
      <c r="P87" s="15"/>
      <c r="Q87" s="15"/>
      <c r="R87" s="16">
        <f t="shared" si="4"/>
        <v>0</v>
      </c>
      <c r="S87" s="16"/>
      <c r="T87" s="80" t="str">
        <f>IF(S87="","",VLOOKUP(S87,VALORACION!F:G,2,FALSE))</f>
        <v/>
      </c>
      <c r="U87" s="11"/>
      <c r="V87" s="80" t="str">
        <f>IF(U87="","",VLOOKUP(U87,ROLES!G:H,2,FALSE))</f>
        <v/>
      </c>
      <c r="W87" s="11"/>
      <c r="X87" s="80" t="str">
        <f>IF(W87="","",VLOOKUP(W87,ROLES!I:J,2,FALSE))</f>
        <v/>
      </c>
      <c r="Y87" s="95" t="e">
        <f t="shared" si="3"/>
        <v>#VALUE!</v>
      </c>
      <c r="Z87" s="6"/>
      <c r="AA87" s="6"/>
    </row>
    <row r="88" spans="1:27" ht="28.95" customHeight="1" x14ac:dyDescent="0.3">
      <c r="A88" s="91"/>
      <c r="B88" s="91"/>
      <c r="C88" s="80"/>
      <c r="D88" s="91"/>
      <c r="E88" s="80"/>
      <c r="F88" s="6"/>
      <c r="G88" s="6"/>
      <c r="H88" s="25"/>
      <c r="I88" s="133"/>
      <c r="J88" s="6"/>
      <c r="K88" s="6"/>
      <c r="L88" s="6"/>
      <c r="M88" s="6"/>
      <c r="N88" s="84"/>
      <c r="O88" s="80" t="str">
        <f>IF(N88="","",VLOOKUP(N88,ROLES!B:C,2,FALSE))</f>
        <v/>
      </c>
      <c r="P88" s="15"/>
      <c r="Q88" s="15"/>
      <c r="R88" s="16">
        <f t="shared" si="4"/>
        <v>0</v>
      </c>
      <c r="S88" s="16"/>
      <c r="T88" s="80" t="str">
        <f>IF(S88="","",VLOOKUP(S88,VALORACION!F:G,2,FALSE))</f>
        <v/>
      </c>
      <c r="U88" s="11"/>
      <c r="V88" s="80" t="str">
        <f>IF(U88="","",VLOOKUP(U88,ROLES!G:H,2,FALSE))</f>
        <v/>
      </c>
      <c r="W88" s="11"/>
      <c r="X88" s="80" t="str">
        <f>IF(W88="","",VLOOKUP(W88,ROLES!I:J,2,FALSE))</f>
        <v/>
      </c>
      <c r="Y88" s="95" t="e">
        <f t="shared" si="3"/>
        <v>#VALUE!</v>
      </c>
      <c r="Z88" s="6"/>
      <c r="AA88" s="6"/>
    </row>
    <row r="89" spans="1:27" ht="28.95" customHeight="1" x14ac:dyDescent="0.3">
      <c r="A89" s="91"/>
      <c r="B89" s="91"/>
      <c r="C89" s="80"/>
      <c r="D89" s="91"/>
      <c r="E89" s="80"/>
      <c r="F89" s="6"/>
      <c r="G89" s="6"/>
      <c r="H89" s="25"/>
      <c r="I89" s="133"/>
      <c r="J89" s="6"/>
      <c r="K89" s="6"/>
      <c r="L89" s="6"/>
      <c r="M89" s="6"/>
      <c r="N89" s="84"/>
      <c r="O89" s="80" t="str">
        <f>IF(N89="","",VLOOKUP(N89,ROLES!B:C,2,FALSE))</f>
        <v/>
      </c>
      <c r="P89" s="15"/>
      <c r="Q89" s="15"/>
      <c r="R89" s="16">
        <f t="shared" si="4"/>
        <v>0</v>
      </c>
      <c r="S89" s="16"/>
      <c r="T89" s="80" t="str">
        <f>IF(S89="","",VLOOKUP(S89,VALORACION!F:G,2,FALSE))</f>
        <v/>
      </c>
      <c r="U89" s="11"/>
      <c r="V89" s="80" t="str">
        <f>IF(U89="","",VLOOKUP(U89,ROLES!G:H,2,FALSE))</f>
        <v/>
      </c>
      <c r="W89" s="11"/>
      <c r="X89" s="80" t="str">
        <f>IF(W89="","",VLOOKUP(W89,ROLES!I:J,2,FALSE))</f>
        <v/>
      </c>
      <c r="Y89" s="95" t="e">
        <f t="shared" si="3"/>
        <v>#VALUE!</v>
      </c>
      <c r="Z89" s="6"/>
      <c r="AA89" s="6"/>
    </row>
    <row r="90" spans="1:27" ht="28.95" customHeight="1" x14ac:dyDescent="0.3">
      <c r="A90" s="91"/>
      <c r="B90" s="91"/>
      <c r="C90" s="80"/>
      <c r="D90" s="91"/>
      <c r="E90" s="80"/>
      <c r="F90" s="6"/>
      <c r="G90" s="6"/>
      <c r="H90" s="25"/>
      <c r="I90" s="133"/>
      <c r="J90" s="6"/>
      <c r="K90" s="6"/>
      <c r="L90" s="6"/>
      <c r="M90" s="6"/>
      <c r="N90" s="84"/>
      <c r="O90" s="80" t="str">
        <f>IF(N90="","",VLOOKUP(N90,ROLES!B:C,2,FALSE))</f>
        <v/>
      </c>
      <c r="P90" s="15"/>
      <c r="Q90" s="15"/>
      <c r="R90" s="16">
        <f t="shared" si="4"/>
        <v>0</v>
      </c>
      <c r="S90" s="16"/>
      <c r="T90" s="80" t="str">
        <f>IF(S90="","",VLOOKUP(S90,VALORACION!F:G,2,FALSE))</f>
        <v/>
      </c>
      <c r="U90" s="11"/>
      <c r="V90" s="80" t="str">
        <f>IF(U90="","",VLOOKUP(U90,ROLES!G:H,2,FALSE))</f>
        <v/>
      </c>
      <c r="W90" s="11"/>
      <c r="X90" s="80" t="str">
        <f>IF(W90="","",VLOOKUP(W90,ROLES!I:J,2,FALSE))</f>
        <v/>
      </c>
      <c r="Y90" s="95" t="e">
        <f t="shared" si="3"/>
        <v>#VALUE!</v>
      </c>
      <c r="Z90" s="6"/>
      <c r="AA90" s="6"/>
    </row>
    <row r="91" spans="1:27" ht="28.95" customHeight="1" x14ac:dyDescent="0.3">
      <c r="A91" s="91"/>
      <c r="B91" s="91"/>
      <c r="C91" s="80"/>
      <c r="D91" s="91"/>
      <c r="E91" s="80"/>
      <c r="F91" s="6"/>
      <c r="G91" s="6"/>
      <c r="H91" s="25"/>
      <c r="I91" s="133"/>
      <c r="J91" s="6"/>
      <c r="K91" s="6"/>
      <c r="L91" s="6"/>
      <c r="M91" s="6"/>
      <c r="N91" s="84"/>
      <c r="O91" s="80" t="str">
        <f>IF(N91="","",VLOOKUP(N91,ROLES!B:C,2,FALSE))</f>
        <v/>
      </c>
      <c r="P91" s="15"/>
      <c r="Q91" s="15"/>
      <c r="R91" s="16">
        <f t="shared" si="4"/>
        <v>0</v>
      </c>
      <c r="S91" s="16"/>
      <c r="T91" s="80" t="str">
        <f>IF(S91="","",VLOOKUP(S91,VALORACION!F:G,2,FALSE))</f>
        <v/>
      </c>
      <c r="U91" s="11"/>
      <c r="V91" s="80" t="str">
        <f>IF(U91="","",VLOOKUP(U91,ROLES!G:H,2,FALSE))</f>
        <v/>
      </c>
      <c r="W91" s="11"/>
      <c r="X91" s="80" t="str">
        <f>IF(W91="","",VLOOKUP(W91,ROLES!I:J,2,FALSE))</f>
        <v/>
      </c>
      <c r="Y91" s="95" t="e">
        <f t="shared" si="3"/>
        <v>#VALUE!</v>
      </c>
      <c r="Z91" s="6"/>
      <c r="AA91" s="6"/>
    </row>
    <row r="92" spans="1:27" ht="28.95" customHeight="1" x14ac:dyDescent="0.3">
      <c r="A92" s="91"/>
      <c r="B92" s="91"/>
      <c r="C92" s="80"/>
      <c r="D92" s="91"/>
      <c r="E92" s="80"/>
      <c r="F92" s="6"/>
      <c r="G92" s="6"/>
      <c r="H92" s="25"/>
      <c r="I92" s="133"/>
      <c r="J92" s="6"/>
      <c r="K92" s="6"/>
      <c r="L92" s="6"/>
      <c r="M92" s="6"/>
      <c r="N92" s="84"/>
      <c r="O92" s="80" t="str">
        <f>IF(N92="","",VLOOKUP(N92,ROLES!B:C,2,FALSE))</f>
        <v/>
      </c>
      <c r="P92" s="15"/>
      <c r="Q92" s="15"/>
      <c r="R92" s="16">
        <f t="shared" si="4"/>
        <v>0</v>
      </c>
      <c r="S92" s="16"/>
      <c r="T92" s="80" t="str">
        <f>IF(S92="","",VLOOKUP(S92,VALORACION!F:G,2,FALSE))</f>
        <v/>
      </c>
      <c r="U92" s="11"/>
      <c r="V92" s="80" t="str">
        <f>IF(U92="","",VLOOKUP(U92,ROLES!G:H,2,FALSE))</f>
        <v/>
      </c>
      <c r="W92" s="11"/>
      <c r="X92" s="80" t="str">
        <f>IF(W92="","",VLOOKUP(W92,ROLES!I:J,2,FALSE))</f>
        <v/>
      </c>
      <c r="Y92" s="95" t="e">
        <f t="shared" si="3"/>
        <v>#VALUE!</v>
      </c>
      <c r="Z92" s="6"/>
      <c r="AA92" s="6"/>
    </row>
    <row r="93" spans="1:27" ht="28.95" customHeight="1" x14ac:dyDescent="0.3">
      <c r="A93" s="91"/>
      <c r="B93" s="91"/>
      <c r="C93" s="80"/>
      <c r="D93" s="91"/>
      <c r="E93" s="80"/>
      <c r="F93" s="6"/>
      <c r="G93" s="6"/>
      <c r="H93" s="25"/>
      <c r="I93" s="133"/>
      <c r="J93" s="6"/>
      <c r="K93" s="6"/>
      <c r="L93" s="6"/>
      <c r="M93" s="6"/>
      <c r="N93" s="84"/>
      <c r="O93" s="80" t="str">
        <f>IF(N93="","",VLOOKUP(N93,ROLES!B:C,2,FALSE))</f>
        <v/>
      </c>
      <c r="P93" s="15"/>
      <c r="Q93" s="15"/>
      <c r="R93" s="16">
        <f t="shared" si="4"/>
        <v>0</v>
      </c>
      <c r="S93" s="16"/>
      <c r="T93" s="80" t="str">
        <f>IF(S93="","",VLOOKUP(S93,VALORACION!F:G,2,FALSE))</f>
        <v/>
      </c>
      <c r="U93" s="11"/>
      <c r="V93" s="80" t="str">
        <f>IF(U93="","",VLOOKUP(U93,ROLES!G:H,2,FALSE))</f>
        <v/>
      </c>
      <c r="W93" s="11"/>
      <c r="X93" s="80" t="str">
        <f>IF(W93="","",VLOOKUP(W93,ROLES!I:J,2,FALSE))</f>
        <v/>
      </c>
      <c r="Y93" s="95" t="e">
        <f t="shared" si="3"/>
        <v>#VALUE!</v>
      </c>
      <c r="Z93" s="6"/>
      <c r="AA93" s="6"/>
    </row>
    <row r="94" spans="1:27" ht="28.95" customHeight="1" x14ac:dyDescent="0.3">
      <c r="A94" s="91"/>
      <c r="B94" s="91"/>
      <c r="C94" s="80"/>
      <c r="D94" s="91"/>
      <c r="E94" s="80"/>
      <c r="F94" s="6"/>
      <c r="G94" s="6"/>
      <c r="H94" s="25"/>
      <c r="I94" s="133"/>
      <c r="J94" s="6"/>
      <c r="K94" s="6"/>
      <c r="L94" s="6"/>
      <c r="M94" s="6"/>
      <c r="N94" s="84"/>
      <c r="O94" s="80" t="str">
        <f>IF(N94="","",VLOOKUP(N94,ROLES!B:C,2,FALSE))</f>
        <v/>
      </c>
      <c r="P94" s="15"/>
      <c r="Q94" s="15"/>
      <c r="R94" s="16">
        <f t="shared" si="4"/>
        <v>0</v>
      </c>
      <c r="S94" s="16"/>
      <c r="T94" s="80" t="str">
        <f>IF(S94="","",VLOOKUP(S94,VALORACION!F:G,2,FALSE))</f>
        <v/>
      </c>
      <c r="U94" s="11"/>
      <c r="V94" s="80" t="str">
        <f>IF(U94="","",VLOOKUP(U94,ROLES!G:H,2,FALSE))</f>
        <v/>
      </c>
      <c r="W94" s="11"/>
      <c r="X94" s="80" t="str">
        <f>IF(W94="","",VLOOKUP(W94,ROLES!I:J,2,FALSE))</f>
        <v/>
      </c>
      <c r="Y94" s="95" t="e">
        <f t="shared" si="3"/>
        <v>#VALUE!</v>
      </c>
      <c r="Z94" s="6"/>
      <c r="AA94" s="6"/>
    </row>
    <row r="95" spans="1:27" ht="28.95" customHeight="1" x14ac:dyDescent="0.3">
      <c r="A95" s="91"/>
      <c r="B95" s="91"/>
      <c r="C95" s="80"/>
      <c r="D95" s="91"/>
      <c r="E95" s="80"/>
      <c r="F95" s="6"/>
      <c r="G95" s="6"/>
      <c r="H95" s="25"/>
      <c r="I95" s="133"/>
      <c r="J95" s="6"/>
      <c r="K95" s="6"/>
      <c r="L95" s="6"/>
      <c r="M95" s="6"/>
      <c r="N95" s="84"/>
      <c r="O95" s="80" t="str">
        <f>IF(N95="","",VLOOKUP(N95,ROLES!B:C,2,FALSE))</f>
        <v/>
      </c>
      <c r="P95" s="15"/>
      <c r="Q95" s="15"/>
      <c r="R95" s="16">
        <f t="shared" si="4"/>
        <v>0</v>
      </c>
      <c r="S95" s="16"/>
      <c r="T95" s="80" t="str">
        <f>IF(S95="","",VLOOKUP(S95,VALORACION!F:G,2,FALSE))</f>
        <v/>
      </c>
      <c r="U95" s="11"/>
      <c r="V95" s="80" t="str">
        <f>IF(U95="","",VLOOKUP(U95,ROLES!G:H,2,FALSE))</f>
        <v/>
      </c>
      <c r="W95" s="11"/>
      <c r="X95" s="80" t="str">
        <f>IF(W95="","",VLOOKUP(W95,ROLES!I:J,2,FALSE))</f>
        <v/>
      </c>
      <c r="Y95" s="95" t="e">
        <f t="shared" si="3"/>
        <v>#VALUE!</v>
      </c>
      <c r="Z95" s="6"/>
      <c r="AA95" s="6"/>
    </row>
    <row r="96" spans="1:27" ht="28.95" customHeight="1" x14ac:dyDescent="0.3">
      <c r="A96" s="91"/>
      <c r="B96" s="91"/>
      <c r="C96" s="80"/>
      <c r="D96" s="91"/>
      <c r="E96" s="80"/>
      <c r="F96" s="6"/>
      <c r="G96" s="6"/>
      <c r="H96" s="25"/>
      <c r="I96" s="133"/>
      <c r="J96" s="6"/>
      <c r="K96" s="6"/>
      <c r="L96" s="6"/>
      <c r="M96" s="6"/>
      <c r="N96" s="84"/>
      <c r="O96" s="80" t="str">
        <f>IF(N96="","",VLOOKUP(N96,ROLES!B:C,2,FALSE))</f>
        <v/>
      </c>
      <c r="P96" s="15"/>
      <c r="Q96" s="15"/>
      <c r="R96" s="16">
        <f t="shared" si="4"/>
        <v>0</v>
      </c>
      <c r="S96" s="16"/>
      <c r="T96" s="80" t="str">
        <f>IF(S96="","",VLOOKUP(S96,VALORACION!F:G,2,FALSE))</f>
        <v/>
      </c>
      <c r="U96" s="11"/>
      <c r="V96" s="80" t="str">
        <f>IF(U96="","",VLOOKUP(U96,ROLES!G:H,2,FALSE))</f>
        <v/>
      </c>
      <c r="W96" s="11"/>
      <c r="X96" s="80" t="str">
        <f>IF(W96="","",VLOOKUP(W96,ROLES!I:J,2,FALSE))</f>
        <v/>
      </c>
      <c r="Y96" s="95" t="e">
        <f t="shared" si="3"/>
        <v>#VALUE!</v>
      </c>
      <c r="Z96" s="6"/>
      <c r="AA96" s="6"/>
    </row>
    <row r="97" spans="1:27" ht="28.95" customHeight="1" x14ac:dyDescent="0.3">
      <c r="A97" s="91"/>
      <c r="B97" s="91"/>
      <c r="C97" s="80"/>
      <c r="D97" s="91"/>
      <c r="E97" s="80"/>
      <c r="F97" s="6"/>
      <c r="G97" s="6"/>
      <c r="H97" s="25"/>
      <c r="I97" s="133"/>
      <c r="J97" s="6"/>
      <c r="K97" s="6"/>
      <c r="L97" s="6"/>
      <c r="M97" s="6"/>
      <c r="N97" s="84"/>
      <c r="O97" s="80" t="str">
        <f>IF(N97="","",VLOOKUP(N97,ROLES!B:C,2,FALSE))</f>
        <v/>
      </c>
      <c r="P97" s="15"/>
      <c r="Q97" s="15"/>
      <c r="R97" s="16">
        <f t="shared" si="4"/>
        <v>0</v>
      </c>
      <c r="S97" s="16"/>
      <c r="T97" s="80" t="str">
        <f>IF(S97="","",VLOOKUP(S97,VALORACION!F:G,2,FALSE))</f>
        <v/>
      </c>
      <c r="U97" s="11"/>
      <c r="V97" s="80" t="str">
        <f>IF(U97="","",VLOOKUP(U97,ROLES!G:H,2,FALSE))</f>
        <v/>
      </c>
      <c r="W97" s="11"/>
      <c r="X97" s="80" t="str">
        <f>IF(W97="","",VLOOKUP(W97,ROLES!I:J,2,FALSE))</f>
        <v/>
      </c>
      <c r="Y97" s="95" t="e">
        <f t="shared" si="3"/>
        <v>#VALUE!</v>
      </c>
      <c r="Z97" s="6"/>
      <c r="AA97" s="6"/>
    </row>
    <row r="98" spans="1:27" ht="28.95" customHeight="1" x14ac:dyDescent="0.3">
      <c r="A98" s="91"/>
      <c r="B98" s="91"/>
      <c r="C98" s="80"/>
      <c r="D98" s="91"/>
      <c r="E98" s="80"/>
      <c r="F98" s="6"/>
      <c r="G98" s="6"/>
      <c r="H98" s="25"/>
      <c r="I98" s="133"/>
      <c r="J98" s="6"/>
      <c r="K98" s="6"/>
      <c r="L98" s="6"/>
      <c r="M98" s="6"/>
      <c r="N98" s="84"/>
      <c r="O98" s="80" t="str">
        <f>IF(N98="","",VLOOKUP(N98,ROLES!B:C,2,FALSE))</f>
        <v/>
      </c>
      <c r="P98" s="15"/>
      <c r="Q98" s="15"/>
      <c r="R98" s="16">
        <f t="shared" si="4"/>
        <v>0</v>
      </c>
      <c r="S98" s="16"/>
      <c r="T98" s="80" t="str">
        <f>IF(S98="","",VLOOKUP(S98,VALORACION!F:G,2,FALSE))</f>
        <v/>
      </c>
      <c r="U98" s="11"/>
      <c r="V98" s="80" t="str">
        <f>IF(U98="","",VLOOKUP(U98,ROLES!G:H,2,FALSE))</f>
        <v/>
      </c>
      <c r="W98" s="11"/>
      <c r="X98" s="80" t="str">
        <f>IF(W98="","",VLOOKUP(W98,ROLES!I:J,2,FALSE))</f>
        <v/>
      </c>
      <c r="Y98" s="95" t="e">
        <f t="shared" si="3"/>
        <v>#VALUE!</v>
      </c>
      <c r="Z98" s="6"/>
      <c r="AA98" s="6"/>
    </row>
    <row r="99" spans="1:27" ht="28.95" customHeight="1" x14ac:dyDescent="0.3">
      <c r="A99" s="91"/>
      <c r="B99" s="91"/>
      <c r="C99" s="80"/>
      <c r="D99" s="91"/>
      <c r="E99" s="80"/>
      <c r="F99" s="6"/>
      <c r="G99" s="6"/>
      <c r="H99" s="25"/>
      <c r="I99" s="133"/>
      <c r="J99" s="6"/>
      <c r="K99" s="6"/>
      <c r="L99" s="6"/>
      <c r="M99" s="6"/>
      <c r="N99" s="84"/>
      <c r="O99" s="80" t="str">
        <f>IF(N99="","",VLOOKUP(N99,ROLES!B:C,2,FALSE))</f>
        <v/>
      </c>
      <c r="P99" s="15"/>
      <c r="Q99" s="15"/>
      <c r="R99" s="16">
        <f t="shared" si="4"/>
        <v>0</v>
      </c>
      <c r="S99" s="16"/>
      <c r="T99" s="80" t="str">
        <f>IF(S99="","",VLOOKUP(S99,VALORACION!F:G,2,FALSE))</f>
        <v/>
      </c>
      <c r="U99" s="11"/>
      <c r="V99" s="80" t="str">
        <f>IF(U99="","",VLOOKUP(U99,ROLES!G:H,2,FALSE))</f>
        <v/>
      </c>
      <c r="W99" s="11"/>
      <c r="X99" s="80" t="str">
        <f>IF(W99="","",VLOOKUP(W99,ROLES!I:J,2,FALSE))</f>
        <v/>
      </c>
      <c r="Y99" s="95" t="e">
        <f t="shared" si="3"/>
        <v>#VALUE!</v>
      </c>
      <c r="Z99" s="6"/>
      <c r="AA99" s="6"/>
    </row>
    <row r="100" spans="1:27" ht="28.95" customHeight="1" x14ac:dyDescent="0.3">
      <c r="A100" s="91"/>
      <c r="B100" s="91"/>
      <c r="C100" s="80"/>
      <c r="D100" s="91"/>
      <c r="E100" s="80"/>
      <c r="F100" s="6"/>
      <c r="G100" s="6"/>
      <c r="H100" s="25"/>
      <c r="I100" s="133"/>
      <c r="J100" s="6"/>
      <c r="K100" s="6"/>
      <c r="L100" s="6"/>
      <c r="M100" s="6"/>
      <c r="N100" s="84"/>
      <c r="O100" s="80" t="str">
        <f>IF(N100="","",VLOOKUP(N100,ROLES!B:C,2,FALSE))</f>
        <v/>
      </c>
      <c r="P100" s="15"/>
      <c r="Q100" s="15"/>
      <c r="R100" s="16">
        <f t="shared" si="4"/>
        <v>0</v>
      </c>
      <c r="S100" s="16"/>
      <c r="T100" s="80" t="str">
        <f>IF(S100="","",VLOOKUP(S100,VALORACION!F:G,2,FALSE))</f>
        <v/>
      </c>
      <c r="U100" s="11"/>
      <c r="V100" s="80" t="str">
        <f>IF(U100="","",VLOOKUP(U100,ROLES!G:H,2,FALSE))</f>
        <v/>
      </c>
      <c r="W100" s="11"/>
      <c r="X100" s="80" t="str">
        <f>IF(W100="","",VLOOKUP(W100,ROLES!I:J,2,FALSE))</f>
        <v/>
      </c>
      <c r="Y100" s="95" t="e">
        <f t="shared" si="3"/>
        <v>#VALUE!</v>
      </c>
      <c r="Z100" s="6"/>
      <c r="AA100" s="6"/>
    </row>
    <row r="101" spans="1:27" ht="28.95" customHeight="1" x14ac:dyDescent="0.3">
      <c r="A101" s="91"/>
      <c r="B101" s="91"/>
      <c r="C101" s="80"/>
      <c r="D101" s="91"/>
      <c r="E101" s="80"/>
      <c r="F101" s="6"/>
      <c r="G101" s="6"/>
      <c r="H101" s="25"/>
      <c r="I101" s="133"/>
      <c r="J101" s="6"/>
      <c r="K101" s="6"/>
      <c r="L101" s="6"/>
      <c r="M101" s="6"/>
      <c r="N101" s="84"/>
      <c r="O101" s="80" t="str">
        <f>IF(N101="","",VLOOKUP(N101,ROLES!B:C,2,FALSE))</f>
        <v/>
      </c>
      <c r="P101" s="15"/>
      <c r="Q101" s="15"/>
      <c r="R101" s="16">
        <f t="shared" si="4"/>
        <v>0</v>
      </c>
      <c r="S101" s="16"/>
      <c r="T101" s="80" t="str">
        <f>IF(S101="","",VLOOKUP(S101,VALORACION!F:G,2,FALSE))</f>
        <v/>
      </c>
      <c r="U101" s="11"/>
      <c r="V101" s="80" t="str">
        <f>IF(U101="","",VLOOKUP(U101,ROLES!G:H,2,FALSE))</f>
        <v/>
      </c>
      <c r="W101" s="11"/>
      <c r="X101" s="80" t="str">
        <f>IF(W101="","",VLOOKUP(W101,ROLES!I:J,2,FALSE))</f>
        <v/>
      </c>
      <c r="Y101" s="95" t="e">
        <f t="shared" si="3"/>
        <v>#VALUE!</v>
      </c>
      <c r="Z101" s="6"/>
      <c r="AA101" s="6"/>
    </row>
    <row r="102" spans="1:27" ht="28.95" customHeight="1" x14ac:dyDescent="0.3">
      <c r="A102" s="91"/>
      <c r="B102" s="91"/>
      <c r="C102" s="80"/>
      <c r="D102" s="91"/>
      <c r="E102" s="80"/>
      <c r="F102" s="6"/>
      <c r="G102" s="6"/>
      <c r="H102" s="25"/>
      <c r="I102" s="133"/>
      <c r="J102" s="6"/>
      <c r="K102" s="6"/>
      <c r="L102" s="6"/>
      <c r="M102" s="6"/>
      <c r="N102" s="84"/>
      <c r="O102" s="80" t="str">
        <f>IF(N102="","",VLOOKUP(N102,ROLES!B:C,2,FALSE))</f>
        <v/>
      </c>
      <c r="P102" s="15"/>
      <c r="Q102" s="15"/>
      <c r="R102" s="16">
        <f t="shared" si="4"/>
        <v>0</v>
      </c>
      <c r="S102" s="16"/>
      <c r="T102" s="80" t="str">
        <f>IF(S102="","",VLOOKUP(S102,VALORACION!F:G,2,FALSE))</f>
        <v/>
      </c>
      <c r="U102" s="11"/>
      <c r="V102" s="80" t="str">
        <f>IF(U102="","",VLOOKUP(U102,ROLES!G:H,2,FALSE))</f>
        <v/>
      </c>
      <c r="W102" s="11"/>
      <c r="X102" s="80" t="str">
        <f>IF(W102="","",VLOOKUP(W102,ROLES!I:J,2,FALSE))</f>
        <v/>
      </c>
      <c r="Y102" s="95" t="e">
        <f t="shared" si="3"/>
        <v>#VALUE!</v>
      </c>
      <c r="Z102" s="6"/>
      <c r="AA102" s="6"/>
    </row>
    <row r="103" spans="1:27" ht="28.95" customHeight="1" x14ac:dyDescent="0.3">
      <c r="A103" s="91"/>
      <c r="B103" s="91"/>
      <c r="C103" s="80"/>
      <c r="D103" s="91"/>
      <c r="E103" s="80"/>
      <c r="F103" s="6"/>
      <c r="G103" s="6"/>
      <c r="H103" s="25"/>
      <c r="I103" s="133"/>
      <c r="J103" s="6"/>
      <c r="K103" s="6"/>
      <c r="L103" s="6"/>
      <c r="M103" s="6"/>
      <c r="N103" s="84"/>
      <c r="O103" s="80" t="str">
        <f>IF(N103="","",VLOOKUP(N103,ROLES!B:C,2,FALSE))</f>
        <v/>
      </c>
      <c r="P103" s="15"/>
      <c r="Q103" s="15"/>
      <c r="R103" s="16">
        <f t="shared" si="4"/>
        <v>0</v>
      </c>
      <c r="S103" s="16"/>
      <c r="T103" s="80" t="str">
        <f>IF(S103="","",VLOOKUP(S103,VALORACION!F:G,2,FALSE))</f>
        <v/>
      </c>
      <c r="U103" s="11"/>
      <c r="V103" s="80" t="str">
        <f>IF(U103="","",VLOOKUP(U103,ROLES!G:H,2,FALSE))</f>
        <v/>
      </c>
      <c r="W103" s="11"/>
      <c r="X103" s="80" t="str">
        <f>IF(W103="","",VLOOKUP(W103,ROLES!I:J,2,FALSE))</f>
        <v/>
      </c>
      <c r="Y103" s="95" t="e">
        <f t="shared" si="3"/>
        <v>#VALUE!</v>
      </c>
      <c r="Z103" s="6"/>
      <c r="AA103" s="6"/>
    </row>
    <row r="104" spans="1:27" ht="28.95" customHeight="1" x14ac:dyDescent="0.3">
      <c r="A104" s="91"/>
      <c r="B104" s="91"/>
      <c r="C104" s="80"/>
      <c r="D104" s="91"/>
      <c r="E104" s="80"/>
      <c r="F104" s="6"/>
      <c r="G104" s="6"/>
      <c r="H104" s="25"/>
      <c r="I104" s="133"/>
      <c r="J104" s="6"/>
      <c r="K104" s="6"/>
      <c r="L104" s="6"/>
      <c r="M104" s="6"/>
      <c r="N104" s="84"/>
      <c r="O104" s="80" t="str">
        <f>IF(N104="","",VLOOKUP(N104,ROLES!B:C,2,FALSE))</f>
        <v/>
      </c>
      <c r="P104" s="15"/>
      <c r="Q104" s="15"/>
      <c r="R104" s="16">
        <f t="shared" si="4"/>
        <v>0</v>
      </c>
      <c r="S104" s="16"/>
      <c r="T104" s="80" t="str">
        <f>IF(S104="","",VLOOKUP(S104,VALORACION!F:G,2,FALSE))</f>
        <v/>
      </c>
      <c r="U104" s="11"/>
      <c r="V104" s="80" t="str">
        <f>IF(U104="","",VLOOKUP(U104,ROLES!G:H,2,FALSE))</f>
        <v/>
      </c>
      <c r="W104" s="11"/>
      <c r="X104" s="80" t="str">
        <f>IF(W104="","",VLOOKUP(W104,ROLES!I:J,2,FALSE))</f>
        <v/>
      </c>
      <c r="Y104" s="95" t="e">
        <f t="shared" si="3"/>
        <v>#VALUE!</v>
      </c>
      <c r="Z104" s="6"/>
      <c r="AA104" s="6"/>
    </row>
    <row r="105" spans="1:27" ht="28.95" customHeight="1" x14ac:dyDescent="0.3">
      <c r="A105" s="91"/>
      <c r="B105" s="91"/>
      <c r="C105" s="80"/>
      <c r="D105" s="91"/>
      <c r="E105" s="80"/>
      <c r="F105" s="6"/>
      <c r="G105" s="6"/>
      <c r="H105" s="25"/>
      <c r="I105" s="133"/>
      <c r="J105" s="6"/>
      <c r="K105" s="6"/>
      <c r="L105" s="6"/>
      <c r="M105" s="6"/>
      <c r="N105" s="84"/>
      <c r="O105" s="80" t="str">
        <f>IF(N105="","",VLOOKUP(N105,ROLES!B:C,2,FALSE))</f>
        <v/>
      </c>
      <c r="P105" s="15"/>
      <c r="Q105" s="15"/>
      <c r="R105" s="16">
        <f t="shared" si="4"/>
        <v>0</v>
      </c>
      <c r="S105" s="16"/>
      <c r="T105" s="80" t="str">
        <f>IF(S105="","",VLOOKUP(S105,VALORACION!F:G,2,FALSE))</f>
        <v/>
      </c>
      <c r="U105" s="11"/>
      <c r="V105" s="80" t="str">
        <f>IF(U105="","",VLOOKUP(U105,ROLES!G:H,2,FALSE))</f>
        <v/>
      </c>
      <c r="W105" s="11"/>
      <c r="X105" s="80" t="str">
        <f>IF(W105="","",VLOOKUP(W105,ROLES!I:J,2,FALSE))</f>
        <v/>
      </c>
      <c r="Y105" s="95" t="e">
        <f t="shared" si="3"/>
        <v>#VALUE!</v>
      </c>
      <c r="Z105" s="6"/>
      <c r="AA105" s="6"/>
    </row>
    <row r="106" spans="1:27" ht="28.95" customHeight="1" x14ac:dyDescent="0.3">
      <c r="A106" s="91"/>
      <c r="B106" s="91"/>
      <c r="C106" s="80"/>
      <c r="D106" s="91"/>
      <c r="E106" s="80"/>
      <c r="F106" s="6"/>
      <c r="G106" s="6"/>
      <c r="H106" s="25"/>
      <c r="I106" s="133"/>
      <c r="J106" s="6"/>
      <c r="K106" s="6"/>
      <c r="L106" s="6"/>
      <c r="M106" s="6"/>
      <c r="N106" s="84"/>
      <c r="O106" s="80" t="str">
        <f>IF(N106="","",VLOOKUP(N106,ROLES!B:C,2,FALSE))</f>
        <v/>
      </c>
      <c r="P106" s="15"/>
      <c r="Q106" s="15"/>
      <c r="R106" s="16">
        <f t="shared" si="4"/>
        <v>0</v>
      </c>
      <c r="S106" s="16"/>
      <c r="T106" s="80" t="str">
        <f>IF(S106="","",VLOOKUP(S106,VALORACION!F:G,2,FALSE))</f>
        <v/>
      </c>
      <c r="U106" s="11"/>
      <c r="V106" s="80" t="str">
        <f>IF(U106="","",VLOOKUP(U106,ROLES!G:H,2,FALSE))</f>
        <v/>
      </c>
      <c r="W106" s="11"/>
      <c r="X106" s="80" t="str">
        <f>IF(W106="","",VLOOKUP(W106,ROLES!I:J,2,FALSE))</f>
        <v/>
      </c>
      <c r="Y106" s="95" t="e">
        <f t="shared" si="3"/>
        <v>#VALUE!</v>
      </c>
      <c r="Z106" s="6"/>
      <c r="AA106" s="6"/>
    </row>
    <row r="107" spans="1:27" ht="28.95" customHeight="1" x14ac:dyDescent="0.3">
      <c r="A107" s="91"/>
      <c r="B107" s="91"/>
      <c r="C107" s="80"/>
      <c r="D107" s="91"/>
      <c r="E107" s="80"/>
      <c r="F107" s="6"/>
      <c r="G107" s="6"/>
      <c r="H107" s="25"/>
      <c r="I107" s="133"/>
      <c r="J107" s="6"/>
      <c r="K107" s="6"/>
      <c r="L107" s="6"/>
      <c r="M107" s="6"/>
      <c r="N107" s="84"/>
      <c r="O107" s="80" t="str">
        <f>IF(N107="","",VLOOKUP(N107,ROLES!B:C,2,FALSE))</f>
        <v/>
      </c>
      <c r="P107" s="15"/>
      <c r="Q107" s="15"/>
      <c r="R107" s="16">
        <f t="shared" si="4"/>
        <v>0</v>
      </c>
      <c r="S107" s="16"/>
      <c r="T107" s="80" t="str">
        <f>IF(S107="","",VLOOKUP(S107,VALORACION!F:G,2,FALSE))</f>
        <v/>
      </c>
      <c r="U107" s="11"/>
      <c r="V107" s="80" t="str">
        <f>IF(U107="","",VLOOKUP(U107,ROLES!G:H,2,FALSE))</f>
        <v/>
      </c>
      <c r="W107" s="11"/>
      <c r="X107" s="80" t="str">
        <f>IF(W107="","",VLOOKUP(W107,ROLES!I:J,2,FALSE))</f>
        <v/>
      </c>
      <c r="Y107" s="95" t="e">
        <f t="shared" si="3"/>
        <v>#VALUE!</v>
      </c>
      <c r="Z107" s="6"/>
      <c r="AA107" s="6"/>
    </row>
    <row r="108" spans="1:27" ht="28.95" customHeight="1" x14ac:dyDescent="0.3">
      <c r="A108" s="91"/>
      <c r="B108" s="91"/>
      <c r="C108" s="80"/>
      <c r="D108" s="91"/>
      <c r="E108" s="80"/>
      <c r="F108" s="6"/>
      <c r="G108" s="6"/>
      <c r="H108" s="25"/>
      <c r="I108" s="133"/>
      <c r="J108" s="6"/>
      <c r="K108" s="6"/>
      <c r="L108" s="6"/>
      <c r="M108" s="6"/>
      <c r="N108" s="84"/>
      <c r="O108" s="80" t="str">
        <f>IF(N108="","",VLOOKUP(N108,ROLES!B:C,2,FALSE))</f>
        <v/>
      </c>
      <c r="P108" s="15"/>
      <c r="Q108" s="15"/>
      <c r="R108" s="16">
        <f t="shared" si="4"/>
        <v>0</v>
      </c>
      <c r="S108" s="16"/>
      <c r="T108" s="80" t="str">
        <f>IF(S108="","",VLOOKUP(S108,VALORACION!F:G,2,FALSE))</f>
        <v/>
      </c>
      <c r="U108" s="11"/>
      <c r="V108" s="80" t="str">
        <f>IF(U108="","",VLOOKUP(U108,ROLES!G:H,2,FALSE))</f>
        <v/>
      </c>
      <c r="W108" s="11"/>
      <c r="X108" s="80" t="str">
        <f>IF(W108="","",VLOOKUP(W108,ROLES!I:J,2,FALSE))</f>
        <v/>
      </c>
      <c r="Y108" s="95" t="e">
        <f t="shared" si="3"/>
        <v>#VALUE!</v>
      </c>
      <c r="Z108" s="6"/>
      <c r="AA108" s="6"/>
    </row>
    <row r="109" spans="1:27" ht="28.95" customHeight="1" x14ac:dyDescent="0.3">
      <c r="A109" s="91"/>
      <c r="B109" s="91"/>
      <c r="C109" s="80"/>
      <c r="D109" s="91"/>
      <c r="E109" s="80"/>
      <c r="F109" s="6"/>
      <c r="G109" s="6"/>
      <c r="H109" s="25"/>
      <c r="I109" s="133"/>
      <c r="J109" s="6"/>
      <c r="K109" s="6"/>
      <c r="L109" s="6"/>
      <c r="M109" s="6"/>
      <c r="N109" s="84"/>
      <c r="O109" s="80" t="str">
        <f>IF(N109="","",VLOOKUP(N109,ROLES!B:C,2,FALSE))</f>
        <v/>
      </c>
      <c r="P109" s="15"/>
      <c r="Q109" s="15"/>
      <c r="R109" s="16">
        <f t="shared" si="4"/>
        <v>0</v>
      </c>
      <c r="S109" s="16"/>
      <c r="T109" s="80" t="str">
        <f>IF(S109="","",VLOOKUP(S109,VALORACION!F:G,2,FALSE))</f>
        <v/>
      </c>
      <c r="U109" s="11"/>
      <c r="V109" s="80" t="str">
        <f>IF(U109="","",VLOOKUP(U109,ROLES!G:H,2,FALSE))</f>
        <v/>
      </c>
      <c r="W109" s="11"/>
      <c r="X109" s="80" t="str">
        <f>IF(W109="","",VLOOKUP(W109,ROLES!I:J,2,FALSE))</f>
        <v/>
      </c>
      <c r="Y109" s="95" t="e">
        <f t="shared" si="3"/>
        <v>#VALUE!</v>
      </c>
      <c r="Z109" s="6"/>
      <c r="AA109" s="6"/>
    </row>
    <row r="110" spans="1:27" ht="28.95" customHeight="1" x14ac:dyDescent="0.3">
      <c r="A110" s="91"/>
      <c r="B110" s="91"/>
      <c r="C110" s="80"/>
      <c r="D110" s="91"/>
      <c r="E110" s="80"/>
      <c r="F110" s="6"/>
      <c r="G110" s="6"/>
      <c r="H110" s="25"/>
      <c r="I110" s="133"/>
      <c r="J110" s="6"/>
      <c r="K110" s="6"/>
      <c r="L110" s="6"/>
      <c r="M110" s="6"/>
      <c r="N110" s="84"/>
      <c r="O110" s="80" t="str">
        <f>IF(N110="","",VLOOKUP(N110,ROLES!B:C,2,FALSE))</f>
        <v/>
      </c>
      <c r="P110" s="15"/>
      <c r="Q110" s="15"/>
      <c r="R110" s="16">
        <f t="shared" si="4"/>
        <v>0</v>
      </c>
      <c r="S110" s="16"/>
      <c r="T110" s="80" t="str">
        <f>IF(S110="","",VLOOKUP(S110,VALORACION!F:G,2,FALSE))</f>
        <v/>
      </c>
      <c r="U110" s="11"/>
      <c r="V110" s="80" t="str">
        <f>IF(U110="","",VLOOKUP(U110,ROLES!G:H,2,FALSE))</f>
        <v/>
      </c>
      <c r="W110" s="11"/>
      <c r="X110" s="80" t="str">
        <f>IF(W110="","",VLOOKUP(W110,ROLES!I:J,2,FALSE))</f>
        <v/>
      </c>
      <c r="Y110" s="95" t="e">
        <f t="shared" si="3"/>
        <v>#VALUE!</v>
      </c>
      <c r="Z110" s="6"/>
      <c r="AA110" s="6"/>
    </row>
    <row r="111" spans="1:27" ht="28.95" customHeight="1" x14ac:dyDescent="0.3">
      <c r="A111" s="91"/>
      <c r="B111" s="91"/>
      <c r="C111" s="80"/>
      <c r="D111" s="91"/>
      <c r="E111" s="80"/>
      <c r="F111" s="6"/>
      <c r="G111" s="6"/>
      <c r="H111" s="25"/>
      <c r="I111" s="133"/>
      <c r="J111" s="6"/>
      <c r="K111" s="6"/>
      <c r="L111" s="6"/>
      <c r="M111" s="6"/>
      <c r="N111" s="84"/>
      <c r="O111" s="80" t="str">
        <f>IF(N111="","",VLOOKUP(N111,ROLES!B:C,2,FALSE))</f>
        <v/>
      </c>
      <c r="P111" s="15"/>
      <c r="Q111" s="15"/>
      <c r="R111" s="16">
        <f t="shared" si="4"/>
        <v>0</v>
      </c>
      <c r="S111" s="16"/>
      <c r="T111" s="80" t="str">
        <f>IF(S111="","",VLOOKUP(S111,VALORACION!F:G,2,FALSE))</f>
        <v/>
      </c>
      <c r="U111" s="11"/>
      <c r="V111" s="80" t="str">
        <f>IF(U111="","",VLOOKUP(U111,ROLES!G:H,2,FALSE))</f>
        <v/>
      </c>
      <c r="W111" s="11"/>
      <c r="X111" s="80" t="str">
        <f>IF(W111="","",VLOOKUP(W111,ROLES!I:J,2,FALSE))</f>
        <v/>
      </c>
      <c r="Y111" s="95" t="e">
        <f t="shared" si="3"/>
        <v>#VALUE!</v>
      </c>
      <c r="Z111" s="6"/>
      <c r="AA111" s="6"/>
    </row>
    <row r="112" spans="1:27" ht="28.95" customHeight="1" x14ac:dyDescent="0.3">
      <c r="A112" s="91"/>
      <c r="B112" s="91"/>
      <c r="C112" s="80"/>
      <c r="D112" s="91"/>
      <c r="E112" s="80"/>
      <c r="F112" s="6"/>
      <c r="G112" s="6"/>
      <c r="H112" s="25"/>
      <c r="I112" s="133"/>
      <c r="J112" s="6"/>
      <c r="K112" s="6"/>
      <c r="L112" s="6"/>
      <c r="M112" s="6"/>
      <c r="N112" s="84"/>
      <c r="O112" s="80" t="str">
        <f>IF(N112="","",VLOOKUP(N112,ROLES!B:C,2,FALSE))</f>
        <v/>
      </c>
      <c r="P112" s="15"/>
      <c r="Q112" s="15"/>
      <c r="R112" s="16">
        <f t="shared" si="4"/>
        <v>0</v>
      </c>
      <c r="S112" s="16"/>
      <c r="T112" s="80" t="str">
        <f>IF(S112="","",VLOOKUP(S112,VALORACION!F:G,2,FALSE))</f>
        <v/>
      </c>
      <c r="U112" s="11"/>
      <c r="V112" s="80" t="str">
        <f>IF(U112="","",VLOOKUP(U112,ROLES!G:H,2,FALSE))</f>
        <v/>
      </c>
      <c r="W112" s="11"/>
      <c r="X112" s="80" t="str">
        <f>IF(W112="","",VLOOKUP(W112,ROLES!I:J,2,FALSE))</f>
        <v/>
      </c>
      <c r="Y112" s="95" t="e">
        <f t="shared" si="3"/>
        <v>#VALUE!</v>
      </c>
      <c r="Z112" s="6"/>
      <c r="AA112" s="6"/>
    </row>
    <row r="113" spans="1:27" ht="28.95" customHeight="1" x14ac:dyDescent="0.3">
      <c r="A113" s="91"/>
      <c r="B113" s="91"/>
      <c r="C113" s="80"/>
      <c r="D113" s="91"/>
      <c r="E113" s="80"/>
      <c r="F113" s="6"/>
      <c r="G113" s="6"/>
      <c r="H113" s="25"/>
      <c r="I113" s="133"/>
      <c r="J113" s="6"/>
      <c r="K113" s="6"/>
      <c r="L113" s="6"/>
      <c r="M113" s="6"/>
      <c r="N113" s="84"/>
      <c r="O113" s="80" t="str">
        <f>IF(N113="","",VLOOKUP(N113,ROLES!B:C,2,FALSE))</f>
        <v/>
      </c>
      <c r="P113" s="15"/>
      <c r="Q113" s="15"/>
      <c r="R113" s="16">
        <f t="shared" si="4"/>
        <v>0</v>
      </c>
      <c r="S113" s="16"/>
      <c r="T113" s="80" t="str">
        <f>IF(S113="","",VLOOKUP(S113,VALORACION!F:G,2,FALSE))</f>
        <v/>
      </c>
      <c r="U113" s="11"/>
      <c r="V113" s="80" t="str">
        <f>IF(U113="","",VLOOKUP(U113,ROLES!G:H,2,FALSE))</f>
        <v/>
      </c>
      <c r="W113" s="11"/>
      <c r="X113" s="80" t="str">
        <f>IF(W113="","",VLOOKUP(W113,ROLES!I:J,2,FALSE))</f>
        <v/>
      </c>
      <c r="Y113" s="95" t="e">
        <f t="shared" si="3"/>
        <v>#VALUE!</v>
      </c>
      <c r="Z113" s="6"/>
      <c r="AA113" s="6"/>
    </row>
    <row r="114" spans="1:27" ht="28.95" customHeight="1" x14ac:dyDescent="0.3">
      <c r="A114" s="91"/>
      <c r="B114" s="91"/>
      <c r="C114" s="80"/>
      <c r="D114" s="91"/>
      <c r="E114" s="80"/>
      <c r="F114" s="6"/>
      <c r="G114" s="6"/>
      <c r="H114" s="25"/>
      <c r="I114" s="133"/>
      <c r="J114" s="6"/>
      <c r="K114" s="6"/>
      <c r="L114" s="6"/>
      <c r="M114" s="6"/>
      <c r="N114" s="84"/>
      <c r="O114" s="80" t="str">
        <f>IF(N114="","",VLOOKUP(N114,ROLES!B:C,2,FALSE))</f>
        <v/>
      </c>
      <c r="P114" s="15"/>
      <c r="Q114" s="15"/>
      <c r="R114" s="16">
        <f t="shared" si="4"/>
        <v>0</v>
      </c>
      <c r="S114" s="16"/>
      <c r="T114" s="80" t="str">
        <f>IF(S114="","",VLOOKUP(S114,VALORACION!F:G,2,FALSE))</f>
        <v/>
      </c>
      <c r="U114" s="11"/>
      <c r="V114" s="80" t="str">
        <f>IF(U114="","",VLOOKUP(U114,ROLES!G:H,2,FALSE))</f>
        <v/>
      </c>
      <c r="W114" s="11"/>
      <c r="X114" s="80" t="str">
        <f>IF(W114="","",VLOOKUP(W114,ROLES!I:J,2,FALSE))</f>
        <v/>
      </c>
      <c r="Y114" s="95" t="e">
        <f t="shared" si="3"/>
        <v>#VALUE!</v>
      </c>
      <c r="Z114" s="6"/>
      <c r="AA114" s="6"/>
    </row>
    <row r="115" spans="1:27" ht="28.95" customHeight="1" x14ac:dyDescent="0.3">
      <c r="A115" s="91"/>
      <c r="B115" s="91"/>
      <c r="C115" s="80"/>
      <c r="D115" s="91"/>
      <c r="E115" s="80"/>
      <c r="F115" s="6"/>
      <c r="G115" s="6"/>
      <c r="H115" s="25"/>
      <c r="I115" s="133"/>
      <c r="J115" s="6"/>
      <c r="K115" s="6"/>
      <c r="L115" s="6"/>
      <c r="M115" s="6"/>
      <c r="N115" s="84"/>
      <c r="O115" s="80" t="str">
        <f>IF(N115="","",VLOOKUP(N115,ROLES!B:C,2,FALSE))</f>
        <v/>
      </c>
      <c r="P115" s="15"/>
      <c r="Q115" s="15"/>
      <c r="R115" s="16">
        <f t="shared" si="4"/>
        <v>0</v>
      </c>
      <c r="S115" s="16"/>
      <c r="T115" s="80" t="str">
        <f>IF(S115="","",VLOOKUP(S115,VALORACION!F:G,2,FALSE))</f>
        <v/>
      </c>
      <c r="U115" s="11"/>
      <c r="V115" s="80" t="str">
        <f>IF(U115="","",VLOOKUP(U115,ROLES!G:H,2,FALSE))</f>
        <v/>
      </c>
      <c r="W115" s="11"/>
      <c r="X115" s="80" t="str">
        <f>IF(W115="","",VLOOKUP(W115,ROLES!I:J,2,FALSE))</f>
        <v/>
      </c>
      <c r="Y115" s="95" t="e">
        <f t="shared" si="3"/>
        <v>#VALUE!</v>
      </c>
      <c r="Z115" s="6"/>
      <c r="AA115" s="6"/>
    </row>
    <row r="116" spans="1:27" ht="28.95" customHeight="1" x14ac:dyDescent="0.3">
      <c r="A116" s="91"/>
      <c r="B116" s="91"/>
      <c r="C116" s="80"/>
      <c r="D116" s="91"/>
      <c r="E116" s="80"/>
      <c r="F116" s="6"/>
      <c r="G116" s="6"/>
      <c r="H116" s="25"/>
      <c r="I116" s="133"/>
      <c r="J116" s="6"/>
      <c r="K116" s="6"/>
      <c r="L116" s="6"/>
      <c r="M116" s="6"/>
      <c r="N116" s="84"/>
      <c r="O116" s="80" t="str">
        <f>IF(N116="","",VLOOKUP(N116,ROLES!B:C,2,FALSE))</f>
        <v/>
      </c>
      <c r="P116" s="15"/>
      <c r="Q116" s="15"/>
      <c r="R116" s="16">
        <f t="shared" si="4"/>
        <v>0</v>
      </c>
      <c r="S116" s="16"/>
      <c r="T116" s="80" t="str">
        <f>IF(S116="","",VLOOKUP(S116,VALORACION!F:G,2,FALSE))</f>
        <v/>
      </c>
      <c r="U116" s="11"/>
      <c r="V116" s="80" t="str">
        <f>IF(U116="","",VLOOKUP(U116,ROLES!G:H,2,FALSE))</f>
        <v/>
      </c>
      <c r="W116" s="11"/>
      <c r="X116" s="80" t="str">
        <f>IF(W116="","",VLOOKUP(W116,ROLES!I:J,2,FALSE))</f>
        <v/>
      </c>
      <c r="Y116" s="95" t="e">
        <f t="shared" si="3"/>
        <v>#VALUE!</v>
      </c>
      <c r="Z116" s="6"/>
      <c r="AA116" s="6"/>
    </row>
    <row r="117" spans="1:27" ht="28.95" customHeight="1" x14ac:dyDescent="0.3">
      <c r="A117" s="91"/>
      <c r="B117" s="91"/>
      <c r="C117" s="80"/>
      <c r="D117" s="91"/>
      <c r="E117" s="80"/>
      <c r="F117" s="6"/>
      <c r="G117" s="6"/>
      <c r="H117" s="25"/>
      <c r="I117" s="133"/>
      <c r="J117" s="6"/>
      <c r="K117" s="6"/>
      <c r="L117" s="6"/>
      <c r="M117" s="6"/>
      <c r="N117" s="84"/>
      <c r="O117" s="80" t="str">
        <f>IF(N117="","",VLOOKUP(N117,ROLES!B:C,2,FALSE))</f>
        <v/>
      </c>
      <c r="P117" s="15"/>
      <c r="Q117" s="15"/>
      <c r="R117" s="16">
        <f t="shared" si="4"/>
        <v>0</v>
      </c>
      <c r="S117" s="16"/>
      <c r="T117" s="80" t="str">
        <f>IF(S117="","",VLOOKUP(S117,VALORACION!F:G,2,FALSE))</f>
        <v/>
      </c>
      <c r="U117" s="11"/>
      <c r="V117" s="80" t="str">
        <f>IF(U117="","",VLOOKUP(U117,ROLES!G:H,2,FALSE))</f>
        <v/>
      </c>
      <c r="W117" s="11"/>
      <c r="X117" s="80" t="str">
        <f>IF(W117="","",VLOOKUP(W117,ROLES!I:J,2,FALSE))</f>
        <v/>
      </c>
      <c r="Y117" s="95" t="e">
        <f t="shared" si="3"/>
        <v>#VALUE!</v>
      </c>
      <c r="Z117" s="6"/>
      <c r="AA117" s="6"/>
    </row>
    <row r="118" spans="1:27" ht="28.95" customHeight="1" x14ac:dyDescent="0.3">
      <c r="A118" s="91"/>
      <c r="B118" s="91"/>
      <c r="C118" s="80"/>
      <c r="D118" s="91"/>
      <c r="E118" s="80"/>
      <c r="F118" s="6"/>
      <c r="G118" s="6"/>
      <c r="H118" s="25"/>
      <c r="I118" s="133"/>
      <c r="J118" s="6"/>
      <c r="K118" s="6"/>
      <c r="L118" s="6"/>
      <c r="M118" s="6"/>
      <c r="N118" s="84"/>
      <c r="O118" s="80" t="str">
        <f>IF(N118="","",VLOOKUP(N118,ROLES!B:C,2,FALSE))</f>
        <v/>
      </c>
      <c r="P118" s="15"/>
      <c r="Q118" s="15"/>
      <c r="R118" s="16">
        <f t="shared" si="4"/>
        <v>0</v>
      </c>
      <c r="S118" s="16"/>
      <c r="T118" s="80" t="str">
        <f>IF(S118="","",VLOOKUP(S118,VALORACION!F:G,2,FALSE))</f>
        <v/>
      </c>
      <c r="U118" s="11"/>
      <c r="V118" s="80" t="str">
        <f>IF(U118="","",VLOOKUP(U118,ROLES!G:H,2,FALSE))</f>
        <v/>
      </c>
      <c r="W118" s="11"/>
      <c r="X118" s="80" t="str">
        <f>IF(W118="","",VLOOKUP(W118,ROLES!I:J,2,FALSE))</f>
        <v/>
      </c>
      <c r="Y118" s="95" t="e">
        <f t="shared" si="3"/>
        <v>#VALUE!</v>
      </c>
      <c r="Z118" s="6"/>
      <c r="AA118" s="6"/>
    </row>
    <row r="119" spans="1:27" ht="28.95" customHeight="1" x14ac:dyDescent="0.3">
      <c r="A119" s="91"/>
      <c r="B119" s="91"/>
      <c r="C119" s="80"/>
      <c r="D119" s="91"/>
      <c r="E119" s="80"/>
      <c r="F119" s="6"/>
      <c r="G119" s="6"/>
      <c r="H119" s="25"/>
      <c r="I119" s="133"/>
      <c r="J119" s="6"/>
      <c r="K119" s="6"/>
      <c r="L119" s="6"/>
      <c r="M119" s="6"/>
      <c r="N119" s="84"/>
      <c r="O119" s="80" t="str">
        <f>IF(N119="","",VLOOKUP(N119,ROLES!B:C,2,FALSE))</f>
        <v/>
      </c>
      <c r="P119" s="15"/>
      <c r="Q119" s="15"/>
      <c r="R119" s="16">
        <f t="shared" si="4"/>
        <v>0</v>
      </c>
      <c r="S119" s="16"/>
      <c r="T119" s="80" t="str">
        <f>IF(S119="","",VLOOKUP(S119,VALORACION!F:G,2,FALSE))</f>
        <v/>
      </c>
      <c r="U119" s="11"/>
      <c r="V119" s="80" t="str">
        <f>IF(U119="","",VLOOKUP(U119,ROLES!G:H,2,FALSE))</f>
        <v/>
      </c>
      <c r="W119" s="11"/>
      <c r="X119" s="80" t="str">
        <f>IF(W119="","",VLOOKUP(W119,ROLES!I:J,2,FALSE))</f>
        <v/>
      </c>
      <c r="Y119" s="95" t="e">
        <f t="shared" si="3"/>
        <v>#VALUE!</v>
      </c>
      <c r="Z119" s="6"/>
      <c r="AA119" s="6"/>
    </row>
    <row r="120" spans="1:27" ht="28.95" customHeight="1" x14ac:dyDescent="0.3">
      <c r="A120" s="91"/>
      <c r="B120" s="91"/>
      <c r="C120" s="80"/>
      <c r="D120" s="91"/>
      <c r="E120" s="80"/>
      <c r="F120" s="6"/>
      <c r="G120" s="6"/>
      <c r="H120" s="25"/>
      <c r="I120" s="133"/>
      <c r="J120" s="6"/>
      <c r="K120" s="6"/>
      <c r="L120" s="6"/>
      <c r="M120" s="6"/>
      <c r="N120" s="84"/>
      <c r="O120" s="80" t="str">
        <f>IF(N120="","",VLOOKUP(N120,ROLES!B:C,2,FALSE))</f>
        <v/>
      </c>
      <c r="P120" s="15"/>
      <c r="Q120" s="15"/>
      <c r="R120" s="16">
        <f t="shared" si="4"/>
        <v>0</v>
      </c>
      <c r="S120" s="16"/>
      <c r="T120" s="80" t="str">
        <f>IF(S120="","",VLOOKUP(S120,VALORACION!F:G,2,FALSE))</f>
        <v/>
      </c>
      <c r="U120" s="11"/>
      <c r="V120" s="80" t="str">
        <f>IF(U120="","",VLOOKUP(U120,ROLES!G:H,2,FALSE))</f>
        <v/>
      </c>
      <c r="W120" s="11"/>
      <c r="X120" s="80" t="str">
        <f>IF(W120="","",VLOOKUP(W120,ROLES!I:J,2,FALSE))</f>
        <v/>
      </c>
      <c r="Y120" s="95" t="e">
        <f t="shared" si="3"/>
        <v>#VALUE!</v>
      </c>
      <c r="Z120" s="6"/>
      <c r="AA120" s="6"/>
    </row>
    <row r="121" spans="1:27" ht="28.95" customHeight="1" x14ac:dyDescent="0.3">
      <c r="A121" s="91"/>
      <c r="B121" s="91"/>
      <c r="C121" s="80"/>
      <c r="D121" s="91"/>
      <c r="E121" s="80"/>
      <c r="F121" s="6"/>
      <c r="G121" s="6"/>
      <c r="H121" s="25"/>
      <c r="I121" s="133"/>
      <c r="J121" s="6"/>
      <c r="K121" s="6"/>
      <c r="L121" s="6"/>
      <c r="M121" s="6"/>
      <c r="N121" s="84"/>
      <c r="O121" s="80" t="str">
        <f>IF(N121="","",VLOOKUP(N121,ROLES!B:C,2,FALSE))</f>
        <v/>
      </c>
      <c r="P121" s="15"/>
      <c r="Q121" s="15"/>
      <c r="R121" s="16">
        <f t="shared" si="4"/>
        <v>0</v>
      </c>
      <c r="S121" s="16"/>
      <c r="T121" s="80" t="str">
        <f>IF(S121="","",VLOOKUP(S121,VALORACION!F:G,2,FALSE))</f>
        <v/>
      </c>
      <c r="U121" s="11"/>
      <c r="V121" s="80" t="str">
        <f>IF(U121="","",VLOOKUP(U121,ROLES!G:H,2,FALSE))</f>
        <v/>
      </c>
      <c r="W121" s="11"/>
      <c r="X121" s="80" t="str">
        <f>IF(W121="","",VLOOKUP(W121,ROLES!I:J,2,FALSE))</f>
        <v/>
      </c>
      <c r="Y121" s="95" t="e">
        <f t="shared" si="3"/>
        <v>#VALUE!</v>
      </c>
      <c r="Z121" s="6"/>
      <c r="AA121" s="6"/>
    </row>
    <row r="122" spans="1:27" ht="28.95" customHeight="1" x14ac:dyDescent="0.3">
      <c r="A122" s="91"/>
      <c r="B122" s="91"/>
      <c r="C122" s="80"/>
      <c r="D122" s="91"/>
      <c r="E122" s="80"/>
      <c r="F122" s="6"/>
      <c r="G122" s="6"/>
      <c r="H122" s="25"/>
      <c r="I122" s="133"/>
      <c r="J122" s="6"/>
      <c r="K122" s="6"/>
      <c r="L122" s="6"/>
      <c r="M122" s="6"/>
      <c r="N122" s="84"/>
      <c r="O122" s="80" t="str">
        <f>IF(N122="","",VLOOKUP(N122,ROLES!B:C,2,FALSE))</f>
        <v/>
      </c>
      <c r="P122" s="15"/>
      <c r="Q122" s="15"/>
      <c r="R122" s="16">
        <f t="shared" si="4"/>
        <v>0</v>
      </c>
      <c r="S122" s="16"/>
      <c r="T122" s="80" t="str">
        <f>IF(S122="","",VLOOKUP(S122,VALORACION!F:G,2,FALSE))</f>
        <v/>
      </c>
      <c r="U122" s="11"/>
      <c r="V122" s="80" t="str">
        <f>IF(U122="","",VLOOKUP(U122,ROLES!G:H,2,FALSE))</f>
        <v/>
      </c>
      <c r="W122" s="11"/>
      <c r="X122" s="80" t="str">
        <f>IF(W122="","",VLOOKUP(W122,ROLES!I:J,2,FALSE))</f>
        <v/>
      </c>
      <c r="Y122" s="95" t="e">
        <f t="shared" si="3"/>
        <v>#VALUE!</v>
      </c>
      <c r="Z122" s="6"/>
      <c r="AA122" s="6"/>
    </row>
    <row r="123" spans="1:27" ht="28.95" customHeight="1" x14ac:dyDescent="0.3">
      <c r="A123" s="91"/>
      <c r="B123" s="91"/>
      <c r="C123" s="80"/>
      <c r="D123" s="91"/>
      <c r="E123" s="80"/>
      <c r="F123" s="6"/>
      <c r="G123" s="6"/>
      <c r="H123" s="25"/>
      <c r="I123" s="133"/>
      <c r="J123" s="6"/>
      <c r="K123" s="6"/>
      <c r="L123" s="6"/>
      <c r="M123" s="6"/>
      <c r="N123" s="84"/>
      <c r="O123" s="80" t="str">
        <f>IF(N123="","",VLOOKUP(N123,ROLES!B:C,2,FALSE))</f>
        <v/>
      </c>
      <c r="P123" s="15"/>
      <c r="Q123" s="15"/>
      <c r="R123" s="16">
        <f t="shared" si="4"/>
        <v>0</v>
      </c>
      <c r="S123" s="16"/>
      <c r="T123" s="80" t="str">
        <f>IF(S123="","",VLOOKUP(S123,VALORACION!F:G,2,FALSE))</f>
        <v/>
      </c>
      <c r="U123" s="11"/>
      <c r="V123" s="80" t="str">
        <f>IF(U123="","",VLOOKUP(U123,ROLES!G:H,2,FALSE))</f>
        <v/>
      </c>
      <c r="W123" s="11"/>
      <c r="X123" s="80" t="str">
        <f>IF(W123="","",VLOOKUP(W123,ROLES!I:J,2,FALSE))</f>
        <v/>
      </c>
      <c r="Y123" s="95" t="e">
        <f t="shared" si="3"/>
        <v>#VALUE!</v>
      </c>
      <c r="Z123" s="6"/>
      <c r="AA123" s="6"/>
    </row>
    <row r="124" spans="1:27" ht="28.95" customHeight="1" x14ac:dyDescent="0.3">
      <c r="A124" s="91"/>
      <c r="B124" s="91"/>
      <c r="C124" s="80"/>
      <c r="D124" s="91"/>
      <c r="E124" s="80"/>
      <c r="F124" s="6"/>
      <c r="G124" s="6"/>
      <c r="H124" s="25"/>
      <c r="I124" s="133"/>
      <c r="J124" s="6"/>
      <c r="K124" s="6"/>
      <c r="L124" s="6"/>
      <c r="M124" s="6"/>
      <c r="N124" s="84"/>
      <c r="O124" s="80" t="str">
        <f>IF(N124="","",VLOOKUP(N124,ROLES!B:C,2,FALSE))</f>
        <v/>
      </c>
      <c r="P124" s="15"/>
      <c r="Q124" s="15"/>
      <c r="R124" s="16">
        <f t="shared" si="4"/>
        <v>0</v>
      </c>
      <c r="S124" s="16"/>
      <c r="T124" s="80" t="str">
        <f>IF(S124="","",VLOOKUP(S124,VALORACION!F:G,2,FALSE))</f>
        <v/>
      </c>
      <c r="U124" s="11"/>
      <c r="V124" s="80" t="str">
        <f>IF(U124="","",VLOOKUP(U124,ROLES!G:H,2,FALSE))</f>
        <v/>
      </c>
      <c r="W124" s="11"/>
      <c r="X124" s="80" t="str">
        <f>IF(W124="","",VLOOKUP(W124,ROLES!I:J,2,FALSE))</f>
        <v/>
      </c>
      <c r="Y124" s="95" t="e">
        <f t="shared" si="3"/>
        <v>#VALUE!</v>
      </c>
      <c r="Z124" s="6"/>
      <c r="AA124" s="6"/>
    </row>
    <row r="125" spans="1:27" ht="28.95" customHeight="1" x14ac:dyDescent="0.3">
      <c r="A125" s="91"/>
      <c r="B125" s="91"/>
      <c r="C125" s="80"/>
      <c r="D125" s="91"/>
      <c r="E125" s="80"/>
      <c r="F125" s="6"/>
      <c r="G125" s="6"/>
      <c r="H125" s="25"/>
      <c r="I125" s="133"/>
      <c r="J125" s="6"/>
      <c r="K125" s="6"/>
      <c r="L125" s="6"/>
      <c r="M125" s="6"/>
      <c r="N125" s="84"/>
      <c r="O125" s="80" t="str">
        <f>IF(N125="","",VLOOKUP(N125,ROLES!B:C,2,FALSE))</f>
        <v/>
      </c>
      <c r="P125" s="15"/>
      <c r="Q125" s="15"/>
      <c r="R125" s="16">
        <f t="shared" si="4"/>
        <v>0</v>
      </c>
      <c r="S125" s="16"/>
      <c r="T125" s="80" t="str">
        <f>IF(S125="","",VLOOKUP(S125,VALORACION!F:G,2,FALSE))</f>
        <v/>
      </c>
      <c r="U125" s="11"/>
      <c r="V125" s="80" t="str">
        <f>IF(U125="","",VLOOKUP(U125,ROLES!G:H,2,FALSE))</f>
        <v/>
      </c>
      <c r="W125" s="11"/>
      <c r="X125" s="80" t="str">
        <f>IF(W125="","",VLOOKUP(W125,ROLES!I:J,2,FALSE))</f>
        <v/>
      </c>
      <c r="Y125" s="95" t="e">
        <f t="shared" si="3"/>
        <v>#VALUE!</v>
      </c>
      <c r="Z125" s="6"/>
      <c r="AA125" s="6"/>
    </row>
    <row r="126" spans="1:27" ht="28.95" customHeight="1" x14ac:dyDescent="0.3">
      <c r="A126" s="91"/>
      <c r="B126" s="91"/>
      <c r="C126" s="80"/>
      <c r="D126" s="91"/>
      <c r="E126" s="80"/>
      <c r="F126" s="6"/>
      <c r="G126" s="6"/>
      <c r="H126" s="25"/>
      <c r="I126" s="133"/>
      <c r="J126" s="6"/>
      <c r="K126" s="6"/>
      <c r="L126" s="6"/>
      <c r="M126" s="6"/>
      <c r="N126" s="84"/>
      <c r="O126" s="80" t="str">
        <f>IF(N126="","",VLOOKUP(N126,ROLES!B:C,2,FALSE))</f>
        <v/>
      </c>
      <c r="P126" s="15"/>
      <c r="Q126" s="15"/>
      <c r="R126" s="16">
        <f t="shared" si="4"/>
        <v>0</v>
      </c>
      <c r="S126" s="16"/>
      <c r="T126" s="80" t="str">
        <f>IF(S126="","",VLOOKUP(S126,VALORACION!F:G,2,FALSE))</f>
        <v/>
      </c>
      <c r="U126" s="11"/>
      <c r="V126" s="80" t="str">
        <f>IF(U126="","",VLOOKUP(U126,ROLES!G:H,2,FALSE))</f>
        <v/>
      </c>
      <c r="W126" s="11"/>
      <c r="X126" s="80" t="str">
        <f>IF(W126="","",VLOOKUP(W126,ROLES!I:J,2,FALSE))</f>
        <v/>
      </c>
      <c r="Y126" s="95" t="e">
        <f t="shared" si="3"/>
        <v>#VALUE!</v>
      </c>
      <c r="Z126" s="6"/>
      <c r="AA126" s="6"/>
    </row>
    <row r="127" spans="1:27" ht="28.95" customHeight="1" x14ac:dyDescent="0.3">
      <c r="A127" s="91"/>
      <c r="B127" s="91"/>
      <c r="C127" s="80"/>
      <c r="D127" s="91"/>
      <c r="E127" s="80"/>
      <c r="F127" s="6"/>
      <c r="G127" s="6"/>
      <c r="H127" s="25"/>
      <c r="I127" s="133"/>
      <c r="J127" s="6"/>
      <c r="K127" s="6"/>
      <c r="L127" s="6"/>
      <c r="M127" s="6"/>
      <c r="N127" s="84"/>
      <c r="O127" s="80" t="str">
        <f>IF(N127="","",VLOOKUP(N127,ROLES!B:C,2,FALSE))</f>
        <v/>
      </c>
      <c r="P127" s="15"/>
      <c r="Q127" s="15"/>
      <c r="R127" s="16">
        <f t="shared" si="4"/>
        <v>0</v>
      </c>
      <c r="S127" s="16"/>
      <c r="T127" s="80" t="str">
        <f>IF(S127="","",VLOOKUP(S127,VALORACION!F:G,2,FALSE))</f>
        <v/>
      </c>
      <c r="U127" s="11"/>
      <c r="V127" s="80" t="str">
        <f>IF(U127="","",VLOOKUP(U127,ROLES!G:H,2,FALSE))</f>
        <v/>
      </c>
      <c r="W127" s="11"/>
      <c r="X127" s="80" t="str">
        <f>IF(W127="","",VLOOKUP(W127,ROLES!I:J,2,FALSE))</f>
        <v/>
      </c>
      <c r="Y127" s="95" t="e">
        <f t="shared" si="3"/>
        <v>#VALUE!</v>
      </c>
      <c r="Z127" s="6"/>
      <c r="AA127" s="6"/>
    </row>
    <row r="128" spans="1:27" ht="28.95" customHeight="1" x14ac:dyDescent="0.3">
      <c r="A128" s="91"/>
      <c r="B128" s="91"/>
      <c r="C128" s="80"/>
      <c r="D128" s="91"/>
      <c r="E128" s="80"/>
      <c r="F128" s="6"/>
      <c r="G128" s="6"/>
      <c r="H128" s="25"/>
      <c r="I128" s="133"/>
      <c r="J128" s="6"/>
      <c r="K128" s="6"/>
      <c r="L128" s="6"/>
      <c r="M128" s="6"/>
      <c r="N128" s="84"/>
      <c r="O128" s="80" t="str">
        <f>IF(N128="","",VLOOKUP(N128,ROLES!B:C,2,FALSE))</f>
        <v/>
      </c>
      <c r="P128" s="15"/>
      <c r="Q128" s="15"/>
      <c r="R128" s="16">
        <f t="shared" si="4"/>
        <v>0</v>
      </c>
      <c r="S128" s="16"/>
      <c r="T128" s="80" t="str">
        <f>IF(S128="","",VLOOKUP(S128,VALORACION!F:G,2,FALSE))</f>
        <v/>
      </c>
      <c r="U128" s="11"/>
      <c r="V128" s="80" t="str">
        <f>IF(U128="","",VLOOKUP(U128,ROLES!G:H,2,FALSE))</f>
        <v/>
      </c>
      <c r="W128" s="11"/>
      <c r="X128" s="80" t="str">
        <f>IF(W128="","",VLOOKUP(W128,ROLES!I:J,2,FALSE))</f>
        <v/>
      </c>
      <c r="Y128" s="95" t="e">
        <f t="shared" si="3"/>
        <v>#VALUE!</v>
      </c>
      <c r="Z128" s="6"/>
      <c r="AA128" s="6"/>
    </row>
    <row r="129" spans="1:27" ht="28.95" customHeight="1" x14ac:dyDescent="0.3">
      <c r="A129" s="91"/>
      <c r="B129" s="91"/>
      <c r="C129" s="80"/>
      <c r="D129" s="91"/>
      <c r="E129" s="80"/>
      <c r="F129" s="6"/>
      <c r="G129" s="6"/>
      <c r="H129" s="25"/>
      <c r="I129" s="133"/>
      <c r="J129" s="6"/>
      <c r="K129" s="6"/>
      <c r="L129" s="6"/>
      <c r="M129" s="6"/>
      <c r="N129" s="84"/>
      <c r="O129" s="80" t="str">
        <f>IF(N129="","",VLOOKUP(N129,ROLES!B:C,2,FALSE))</f>
        <v/>
      </c>
      <c r="P129" s="15"/>
      <c r="Q129" s="15"/>
      <c r="R129" s="16">
        <f t="shared" si="4"/>
        <v>0</v>
      </c>
      <c r="S129" s="16"/>
      <c r="T129" s="80" t="str">
        <f>IF(S129="","",VLOOKUP(S129,VALORACION!F:G,2,FALSE))</f>
        <v/>
      </c>
      <c r="U129" s="11"/>
      <c r="V129" s="80" t="str">
        <f>IF(U129="","",VLOOKUP(U129,ROLES!G:H,2,FALSE))</f>
        <v/>
      </c>
      <c r="W129" s="11"/>
      <c r="X129" s="80" t="str">
        <f>IF(W129="","",VLOOKUP(W129,ROLES!I:J,2,FALSE))</f>
        <v/>
      </c>
      <c r="Y129" s="95" t="e">
        <f t="shared" si="3"/>
        <v>#VALUE!</v>
      </c>
      <c r="Z129" s="6"/>
      <c r="AA129" s="6"/>
    </row>
    <row r="130" spans="1:27" ht="28.95" customHeight="1" x14ac:dyDescent="0.3">
      <c r="A130" s="91"/>
      <c r="B130" s="91"/>
      <c r="C130" s="80"/>
      <c r="D130" s="91"/>
      <c r="E130" s="80"/>
      <c r="F130" s="6"/>
      <c r="G130" s="6"/>
      <c r="H130" s="25"/>
      <c r="I130" s="133"/>
      <c r="J130" s="6"/>
      <c r="K130" s="6"/>
      <c r="L130" s="6"/>
      <c r="M130" s="6"/>
      <c r="N130" s="84"/>
      <c r="O130" s="80" t="str">
        <f>IF(N130="","",VLOOKUP(N130,ROLES!B:C,2,FALSE))</f>
        <v/>
      </c>
      <c r="P130" s="15"/>
      <c r="Q130" s="15"/>
      <c r="R130" s="16">
        <f t="shared" si="4"/>
        <v>0</v>
      </c>
      <c r="S130" s="16"/>
      <c r="T130" s="80" t="str">
        <f>IF(S130="","",VLOOKUP(S130,VALORACION!F:G,2,FALSE))</f>
        <v/>
      </c>
      <c r="U130" s="11"/>
      <c r="V130" s="80" t="str">
        <f>IF(U130="","",VLOOKUP(U130,ROLES!G:H,2,FALSE))</f>
        <v/>
      </c>
      <c r="W130" s="11"/>
      <c r="X130" s="80" t="str">
        <f>IF(W130="","",VLOOKUP(W130,ROLES!I:J,2,FALSE))</f>
        <v/>
      </c>
      <c r="Y130" s="95" t="e">
        <f t="shared" si="3"/>
        <v>#VALUE!</v>
      </c>
      <c r="Z130" s="6"/>
      <c r="AA130" s="6"/>
    </row>
    <row r="131" spans="1:27" ht="28.95" customHeight="1" x14ac:dyDescent="0.3">
      <c r="A131" s="91"/>
      <c r="B131" s="91"/>
      <c r="C131" s="80"/>
      <c r="D131" s="91"/>
      <c r="E131" s="80"/>
      <c r="F131" s="6"/>
      <c r="G131" s="6"/>
      <c r="H131" s="25"/>
      <c r="I131" s="133"/>
      <c r="J131" s="6"/>
      <c r="K131" s="6"/>
      <c r="L131" s="6"/>
      <c r="M131" s="6"/>
      <c r="N131" s="84"/>
      <c r="O131" s="80" t="str">
        <f>IF(N131="","",VLOOKUP(N131,ROLES!B:C,2,FALSE))</f>
        <v/>
      </c>
      <c r="P131" s="15"/>
      <c r="Q131" s="15"/>
      <c r="R131" s="16">
        <f t="shared" si="4"/>
        <v>0</v>
      </c>
      <c r="S131" s="16"/>
      <c r="T131" s="80" t="str">
        <f>IF(S131="","",VLOOKUP(S131,VALORACION!F:G,2,FALSE))</f>
        <v/>
      </c>
      <c r="U131" s="11"/>
      <c r="V131" s="80" t="str">
        <f>IF(U131="","",VLOOKUP(U131,ROLES!G:H,2,FALSE))</f>
        <v/>
      </c>
      <c r="W131" s="11"/>
      <c r="X131" s="80" t="str">
        <f>IF(W131="","",VLOOKUP(W131,ROLES!I:J,2,FALSE))</f>
        <v/>
      </c>
      <c r="Y131" s="95" t="e">
        <f t="shared" si="3"/>
        <v>#VALUE!</v>
      </c>
      <c r="Z131" s="6"/>
      <c r="AA131" s="6"/>
    </row>
    <row r="132" spans="1:27" ht="28.95" customHeight="1" x14ac:dyDescent="0.3">
      <c r="A132" s="91"/>
      <c r="B132" s="91"/>
      <c r="C132" s="80"/>
      <c r="D132" s="91"/>
      <c r="E132" s="80"/>
      <c r="F132" s="6"/>
      <c r="G132" s="6"/>
      <c r="H132" s="25"/>
      <c r="I132" s="133"/>
      <c r="J132" s="6"/>
      <c r="K132" s="6"/>
      <c r="L132" s="6"/>
      <c r="M132" s="6"/>
      <c r="N132" s="84"/>
      <c r="O132" s="80" t="str">
        <f>IF(N132="","",VLOOKUP(N132,ROLES!B:C,2,FALSE))</f>
        <v/>
      </c>
      <c r="P132" s="15"/>
      <c r="Q132" s="15"/>
      <c r="R132" s="16">
        <f t="shared" si="4"/>
        <v>0</v>
      </c>
      <c r="S132" s="16"/>
      <c r="T132" s="80" t="str">
        <f>IF(S132="","",VLOOKUP(S132,VALORACION!F:G,2,FALSE))</f>
        <v/>
      </c>
      <c r="U132" s="11"/>
      <c r="V132" s="80" t="str">
        <f>IF(U132="","",VLOOKUP(U132,ROLES!G:H,2,FALSE))</f>
        <v/>
      </c>
      <c r="W132" s="11"/>
      <c r="X132" s="80" t="str">
        <f>IF(W132="","",VLOOKUP(W132,ROLES!I:J,2,FALSE))</f>
        <v/>
      </c>
      <c r="Y132" s="95" t="e">
        <f t="shared" si="3"/>
        <v>#VALUE!</v>
      </c>
      <c r="Z132" s="6"/>
      <c r="AA132" s="6"/>
    </row>
    <row r="133" spans="1:27" ht="28.95" customHeight="1" x14ac:dyDescent="0.3">
      <c r="A133" s="91"/>
      <c r="B133" s="91"/>
      <c r="C133" s="80"/>
      <c r="D133" s="91"/>
      <c r="E133" s="80"/>
      <c r="F133" s="6"/>
      <c r="G133" s="6"/>
      <c r="H133" s="25"/>
      <c r="I133" s="133"/>
      <c r="J133" s="6"/>
      <c r="K133" s="6"/>
      <c r="L133" s="6"/>
      <c r="M133" s="6"/>
      <c r="N133" s="84"/>
      <c r="O133" s="80" t="str">
        <f>IF(N133="","",VLOOKUP(N133,ROLES!B:C,2,FALSE))</f>
        <v/>
      </c>
      <c r="P133" s="15"/>
      <c r="Q133" s="15"/>
      <c r="R133" s="16">
        <f t="shared" si="4"/>
        <v>0</v>
      </c>
      <c r="S133" s="16"/>
      <c r="T133" s="80" t="str">
        <f>IF(S133="","",VLOOKUP(S133,VALORACION!F:G,2,FALSE))</f>
        <v/>
      </c>
      <c r="U133" s="11"/>
      <c r="V133" s="80" t="str">
        <f>IF(U133="","",VLOOKUP(U133,ROLES!G:H,2,FALSE))</f>
        <v/>
      </c>
      <c r="W133" s="11"/>
      <c r="X133" s="80" t="str">
        <f>IF(W133="","",VLOOKUP(W133,ROLES!I:J,2,FALSE))</f>
        <v/>
      </c>
      <c r="Y133" s="95" t="e">
        <f t="shared" ref="Y133:Y196" si="5">(VALUE(O133)+VALUE(V133)+VALUE(X133)+VALUE(T133))/3</f>
        <v>#VALUE!</v>
      </c>
      <c r="Z133" s="6"/>
      <c r="AA133" s="6"/>
    </row>
    <row r="134" spans="1:27" ht="28.95" customHeight="1" x14ac:dyDescent="0.3">
      <c r="A134" s="91"/>
      <c r="B134" s="91"/>
      <c r="C134" s="80"/>
      <c r="D134" s="91"/>
      <c r="E134" s="80"/>
      <c r="F134" s="6"/>
      <c r="G134" s="6"/>
      <c r="H134" s="25"/>
      <c r="I134" s="133"/>
      <c r="J134" s="6"/>
      <c r="K134" s="6"/>
      <c r="L134" s="6"/>
      <c r="M134" s="6"/>
      <c r="N134" s="84"/>
      <c r="O134" s="80" t="str">
        <f>IF(N134="","",VLOOKUP(N134,ROLES!B:C,2,FALSE))</f>
        <v/>
      </c>
      <c r="P134" s="15"/>
      <c r="Q134" s="15"/>
      <c r="R134" s="16">
        <f t="shared" si="4"/>
        <v>0</v>
      </c>
      <c r="S134" s="16"/>
      <c r="T134" s="80" t="str">
        <f>IF(S134="","",VLOOKUP(S134,VALORACION!F:G,2,FALSE))</f>
        <v/>
      </c>
      <c r="U134" s="11"/>
      <c r="V134" s="80" t="str">
        <f>IF(U134="","",VLOOKUP(U134,ROLES!G:H,2,FALSE))</f>
        <v/>
      </c>
      <c r="W134" s="11"/>
      <c r="X134" s="80" t="str">
        <f>IF(W134="","",VLOOKUP(W134,ROLES!I:J,2,FALSE))</f>
        <v/>
      </c>
      <c r="Y134" s="95" t="e">
        <f t="shared" si="5"/>
        <v>#VALUE!</v>
      </c>
      <c r="Z134" s="6"/>
      <c r="AA134" s="6"/>
    </row>
    <row r="135" spans="1:27" ht="28.95" customHeight="1" x14ac:dyDescent="0.3">
      <c r="A135" s="91"/>
      <c r="B135" s="91"/>
      <c r="C135" s="80"/>
      <c r="D135" s="91"/>
      <c r="E135" s="80"/>
      <c r="F135" s="6"/>
      <c r="G135" s="6"/>
      <c r="H135" s="25"/>
      <c r="I135" s="133"/>
      <c r="J135" s="6"/>
      <c r="K135" s="6"/>
      <c r="L135" s="6"/>
      <c r="M135" s="6"/>
      <c r="N135" s="84"/>
      <c r="O135" s="80" t="str">
        <f>IF(N135="","",VLOOKUP(N135,ROLES!B:C,2,FALSE))</f>
        <v/>
      </c>
      <c r="P135" s="15"/>
      <c r="Q135" s="15"/>
      <c r="R135" s="16">
        <f t="shared" ref="R135:R198" si="6">DATEDIF(P135,Q135,"m")</f>
        <v>0</v>
      </c>
      <c r="S135" s="16"/>
      <c r="T135" s="80" t="str">
        <f>IF(S135="","",VLOOKUP(S135,VALORACION!F:G,2,FALSE))</f>
        <v/>
      </c>
      <c r="U135" s="11"/>
      <c r="V135" s="80" t="str">
        <f>IF(U135="","",VLOOKUP(U135,ROLES!G:H,2,FALSE))</f>
        <v/>
      </c>
      <c r="W135" s="11"/>
      <c r="X135" s="80" t="str">
        <f>IF(W135="","",VLOOKUP(W135,ROLES!I:J,2,FALSE))</f>
        <v/>
      </c>
      <c r="Y135" s="95" t="e">
        <f t="shared" si="5"/>
        <v>#VALUE!</v>
      </c>
      <c r="Z135" s="6"/>
      <c r="AA135" s="6"/>
    </row>
    <row r="136" spans="1:27" ht="28.95" customHeight="1" x14ac:dyDescent="0.3">
      <c r="A136" s="91"/>
      <c r="B136" s="91"/>
      <c r="C136" s="80"/>
      <c r="D136" s="91"/>
      <c r="E136" s="80"/>
      <c r="F136" s="6"/>
      <c r="G136" s="6"/>
      <c r="H136" s="25"/>
      <c r="I136" s="133"/>
      <c r="J136" s="6"/>
      <c r="K136" s="6"/>
      <c r="L136" s="6"/>
      <c r="M136" s="6"/>
      <c r="N136" s="84"/>
      <c r="O136" s="80" t="str">
        <f>IF(N136="","",VLOOKUP(N136,ROLES!B:C,2,FALSE))</f>
        <v/>
      </c>
      <c r="P136" s="15"/>
      <c r="Q136" s="15"/>
      <c r="R136" s="16">
        <f t="shared" si="6"/>
        <v>0</v>
      </c>
      <c r="S136" s="16"/>
      <c r="T136" s="80" t="str">
        <f>IF(S136="","",VLOOKUP(S136,VALORACION!F:G,2,FALSE))</f>
        <v/>
      </c>
      <c r="U136" s="11"/>
      <c r="V136" s="80" t="str">
        <f>IF(U136="","",VLOOKUP(U136,ROLES!G:H,2,FALSE))</f>
        <v/>
      </c>
      <c r="W136" s="11"/>
      <c r="X136" s="80" t="str">
        <f>IF(W136="","",VLOOKUP(W136,ROLES!I:J,2,FALSE))</f>
        <v/>
      </c>
      <c r="Y136" s="95" t="e">
        <f t="shared" si="5"/>
        <v>#VALUE!</v>
      </c>
      <c r="Z136" s="6"/>
      <c r="AA136" s="6"/>
    </row>
    <row r="137" spans="1:27" ht="28.95" customHeight="1" x14ac:dyDescent="0.3">
      <c r="A137" s="91"/>
      <c r="B137" s="91"/>
      <c r="C137" s="80"/>
      <c r="D137" s="91"/>
      <c r="E137" s="80"/>
      <c r="F137" s="6"/>
      <c r="G137" s="6"/>
      <c r="H137" s="25"/>
      <c r="I137" s="133"/>
      <c r="J137" s="6"/>
      <c r="K137" s="6"/>
      <c r="L137" s="6"/>
      <c r="M137" s="6"/>
      <c r="N137" s="84"/>
      <c r="O137" s="80" t="str">
        <f>IF(N137="","",VLOOKUP(N137,ROLES!B:C,2,FALSE))</f>
        <v/>
      </c>
      <c r="P137" s="15"/>
      <c r="Q137" s="15"/>
      <c r="R137" s="16">
        <f t="shared" si="6"/>
        <v>0</v>
      </c>
      <c r="S137" s="16"/>
      <c r="T137" s="80" t="str">
        <f>IF(S137="","",VLOOKUP(S137,VALORACION!F:G,2,FALSE))</f>
        <v/>
      </c>
      <c r="U137" s="11"/>
      <c r="V137" s="80" t="str">
        <f>IF(U137="","",VLOOKUP(U137,ROLES!G:H,2,FALSE))</f>
        <v/>
      </c>
      <c r="W137" s="11"/>
      <c r="X137" s="80" t="str">
        <f>IF(W137="","",VLOOKUP(W137,ROLES!I:J,2,FALSE))</f>
        <v/>
      </c>
      <c r="Y137" s="95" t="e">
        <f t="shared" si="5"/>
        <v>#VALUE!</v>
      </c>
      <c r="Z137" s="6"/>
      <c r="AA137" s="6"/>
    </row>
    <row r="138" spans="1:27" ht="28.95" customHeight="1" x14ac:dyDescent="0.3">
      <c r="A138" s="91"/>
      <c r="B138" s="91"/>
      <c r="C138" s="80"/>
      <c r="D138" s="91"/>
      <c r="E138" s="80"/>
      <c r="F138" s="6"/>
      <c r="G138" s="6"/>
      <c r="H138" s="25"/>
      <c r="I138" s="133"/>
      <c r="J138" s="6"/>
      <c r="K138" s="6"/>
      <c r="L138" s="6"/>
      <c r="M138" s="6"/>
      <c r="N138" s="84"/>
      <c r="O138" s="80" t="str">
        <f>IF(N138="","",VLOOKUP(N138,ROLES!B:C,2,FALSE))</f>
        <v/>
      </c>
      <c r="P138" s="15"/>
      <c r="Q138" s="15"/>
      <c r="R138" s="16">
        <f t="shared" si="6"/>
        <v>0</v>
      </c>
      <c r="S138" s="16"/>
      <c r="T138" s="80" t="str">
        <f>IF(S138="","",VLOOKUP(S138,VALORACION!F:G,2,FALSE))</f>
        <v/>
      </c>
      <c r="U138" s="11"/>
      <c r="V138" s="80" t="str">
        <f>IF(U138="","",VLOOKUP(U138,ROLES!G:H,2,FALSE))</f>
        <v/>
      </c>
      <c r="W138" s="11"/>
      <c r="X138" s="80" t="str">
        <f>IF(W138="","",VLOOKUP(W138,ROLES!I:J,2,FALSE))</f>
        <v/>
      </c>
      <c r="Y138" s="95" t="e">
        <f t="shared" si="5"/>
        <v>#VALUE!</v>
      </c>
      <c r="Z138" s="6"/>
      <c r="AA138" s="6"/>
    </row>
    <row r="139" spans="1:27" ht="28.95" customHeight="1" x14ac:dyDescent="0.3">
      <c r="A139" s="91"/>
      <c r="B139" s="91"/>
      <c r="C139" s="80"/>
      <c r="D139" s="91"/>
      <c r="E139" s="80"/>
      <c r="F139" s="6"/>
      <c r="G139" s="6"/>
      <c r="H139" s="25"/>
      <c r="I139" s="133"/>
      <c r="J139" s="6"/>
      <c r="K139" s="6"/>
      <c r="L139" s="6"/>
      <c r="M139" s="6"/>
      <c r="N139" s="84"/>
      <c r="O139" s="80" t="str">
        <f>IF(N139="","",VLOOKUP(N139,ROLES!B:C,2,FALSE))</f>
        <v/>
      </c>
      <c r="P139" s="15"/>
      <c r="Q139" s="15"/>
      <c r="R139" s="16">
        <f t="shared" si="6"/>
        <v>0</v>
      </c>
      <c r="S139" s="16"/>
      <c r="T139" s="80" t="str">
        <f>IF(S139="","",VLOOKUP(S139,VALORACION!F:G,2,FALSE))</f>
        <v/>
      </c>
      <c r="U139" s="11"/>
      <c r="V139" s="80" t="str">
        <f>IF(U139="","",VLOOKUP(U139,ROLES!G:H,2,FALSE))</f>
        <v/>
      </c>
      <c r="W139" s="11"/>
      <c r="X139" s="80" t="str">
        <f>IF(W139="","",VLOOKUP(W139,ROLES!I:J,2,FALSE))</f>
        <v/>
      </c>
      <c r="Y139" s="95" t="e">
        <f t="shared" si="5"/>
        <v>#VALUE!</v>
      </c>
      <c r="Z139" s="6"/>
      <c r="AA139" s="6"/>
    </row>
    <row r="140" spans="1:27" ht="28.95" customHeight="1" x14ac:dyDescent="0.3">
      <c r="A140" s="91"/>
      <c r="B140" s="91"/>
      <c r="C140" s="80"/>
      <c r="D140" s="91"/>
      <c r="E140" s="80"/>
      <c r="F140" s="6"/>
      <c r="G140" s="6"/>
      <c r="H140" s="25"/>
      <c r="I140" s="133"/>
      <c r="J140" s="6"/>
      <c r="K140" s="6"/>
      <c r="L140" s="6"/>
      <c r="M140" s="6"/>
      <c r="N140" s="84"/>
      <c r="O140" s="80" t="str">
        <f>IF(N140="","",VLOOKUP(N140,ROLES!B:C,2,FALSE))</f>
        <v/>
      </c>
      <c r="P140" s="15"/>
      <c r="Q140" s="15"/>
      <c r="R140" s="16">
        <f t="shared" si="6"/>
        <v>0</v>
      </c>
      <c r="S140" s="16"/>
      <c r="T140" s="80" t="str">
        <f>IF(S140="","",VLOOKUP(S140,VALORACION!F:G,2,FALSE))</f>
        <v/>
      </c>
      <c r="U140" s="11"/>
      <c r="V140" s="80" t="str">
        <f>IF(U140="","",VLOOKUP(U140,ROLES!G:H,2,FALSE))</f>
        <v/>
      </c>
      <c r="W140" s="11"/>
      <c r="X140" s="80" t="str">
        <f>IF(W140="","",VLOOKUP(W140,ROLES!I:J,2,FALSE))</f>
        <v/>
      </c>
      <c r="Y140" s="95" t="e">
        <f t="shared" si="5"/>
        <v>#VALUE!</v>
      </c>
      <c r="Z140" s="6"/>
      <c r="AA140" s="6"/>
    </row>
    <row r="141" spans="1:27" ht="28.95" customHeight="1" x14ac:dyDescent="0.3">
      <c r="A141" s="91"/>
      <c r="B141" s="91"/>
      <c r="C141" s="80"/>
      <c r="D141" s="91"/>
      <c r="E141" s="80"/>
      <c r="F141" s="6"/>
      <c r="G141" s="6"/>
      <c r="H141" s="25"/>
      <c r="I141" s="133"/>
      <c r="J141" s="6"/>
      <c r="K141" s="6"/>
      <c r="L141" s="6"/>
      <c r="M141" s="6"/>
      <c r="N141" s="84"/>
      <c r="O141" s="80" t="str">
        <f>IF(N141="","",VLOOKUP(N141,ROLES!B:C,2,FALSE))</f>
        <v/>
      </c>
      <c r="P141" s="15"/>
      <c r="Q141" s="15"/>
      <c r="R141" s="16">
        <f t="shared" si="6"/>
        <v>0</v>
      </c>
      <c r="S141" s="16"/>
      <c r="T141" s="80" t="str">
        <f>IF(S141="","",VLOOKUP(S141,VALORACION!F:G,2,FALSE))</f>
        <v/>
      </c>
      <c r="U141" s="11"/>
      <c r="V141" s="80" t="str">
        <f>IF(U141="","",VLOOKUP(U141,ROLES!G:H,2,FALSE))</f>
        <v/>
      </c>
      <c r="W141" s="11"/>
      <c r="X141" s="80" t="str">
        <f>IF(W141="","",VLOOKUP(W141,ROLES!I:J,2,FALSE))</f>
        <v/>
      </c>
      <c r="Y141" s="95" t="e">
        <f t="shared" si="5"/>
        <v>#VALUE!</v>
      </c>
      <c r="Z141" s="6"/>
      <c r="AA141" s="6"/>
    </row>
    <row r="142" spans="1:27" ht="28.95" customHeight="1" x14ac:dyDescent="0.3">
      <c r="A142" s="91"/>
      <c r="B142" s="91"/>
      <c r="C142" s="80"/>
      <c r="D142" s="91"/>
      <c r="E142" s="80"/>
      <c r="F142" s="6"/>
      <c r="G142" s="6"/>
      <c r="H142" s="25"/>
      <c r="I142" s="133"/>
      <c r="J142" s="6"/>
      <c r="K142" s="6"/>
      <c r="L142" s="6"/>
      <c r="M142" s="6"/>
      <c r="N142" s="84"/>
      <c r="O142" s="80" t="str">
        <f>IF(N142="","",VLOOKUP(N142,ROLES!B:C,2,FALSE))</f>
        <v/>
      </c>
      <c r="P142" s="15"/>
      <c r="Q142" s="15"/>
      <c r="R142" s="16">
        <f t="shared" si="6"/>
        <v>0</v>
      </c>
      <c r="S142" s="16"/>
      <c r="T142" s="80" t="str">
        <f>IF(S142="","",VLOOKUP(S142,VALORACION!F:G,2,FALSE))</f>
        <v/>
      </c>
      <c r="U142" s="11"/>
      <c r="V142" s="80" t="str">
        <f>IF(U142="","",VLOOKUP(U142,ROLES!G:H,2,FALSE))</f>
        <v/>
      </c>
      <c r="W142" s="11"/>
      <c r="X142" s="80" t="str">
        <f>IF(W142="","",VLOOKUP(W142,ROLES!I:J,2,FALSE))</f>
        <v/>
      </c>
      <c r="Y142" s="95" t="e">
        <f t="shared" si="5"/>
        <v>#VALUE!</v>
      </c>
      <c r="Z142" s="6"/>
      <c r="AA142" s="6"/>
    </row>
    <row r="143" spans="1:27" ht="28.95" customHeight="1" x14ac:dyDescent="0.3">
      <c r="A143" s="91"/>
      <c r="B143" s="91"/>
      <c r="C143" s="80"/>
      <c r="D143" s="91"/>
      <c r="E143" s="80"/>
      <c r="F143" s="6"/>
      <c r="G143" s="6"/>
      <c r="H143" s="25"/>
      <c r="I143" s="133"/>
      <c r="J143" s="6"/>
      <c r="K143" s="6"/>
      <c r="L143" s="6"/>
      <c r="M143" s="6"/>
      <c r="N143" s="84"/>
      <c r="O143" s="80" t="str">
        <f>IF(N143="","",VLOOKUP(N143,ROLES!B:C,2,FALSE))</f>
        <v/>
      </c>
      <c r="P143" s="15"/>
      <c r="Q143" s="15"/>
      <c r="R143" s="16">
        <f t="shared" si="6"/>
        <v>0</v>
      </c>
      <c r="S143" s="16"/>
      <c r="T143" s="80" t="str">
        <f>IF(S143="","",VLOOKUP(S143,VALORACION!F:G,2,FALSE))</f>
        <v/>
      </c>
      <c r="U143" s="11"/>
      <c r="V143" s="80" t="str">
        <f>IF(U143="","",VLOOKUP(U143,ROLES!G:H,2,FALSE))</f>
        <v/>
      </c>
      <c r="W143" s="11"/>
      <c r="X143" s="80" t="str">
        <f>IF(W143="","",VLOOKUP(W143,ROLES!I:J,2,FALSE))</f>
        <v/>
      </c>
      <c r="Y143" s="95" t="e">
        <f t="shared" si="5"/>
        <v>#VALUE!</v>
      </c>
      <c r="Z143" s="6"/>
      <c r="AA143" s="6"/>
    </row>
    <row r="144" spans="1:27" ht="28.95" customHeight="1" x14ac:dyDescent="0.3">
      <c r="A144" s="91"/>
      <c r="B144" s="91"/>
      <c r="C144" s="80"/>
      <c r="D144" s="91"/>
      <c r="E144" s="80"/>
      <c r="F144" s="6"/>
      <c r="G144" s="6"/>
      <c r="H144" s="25"/>
      <c r="I144" s="133"/>
      <c r="J144" s="6"/>
      <c r="K144" s="6"/>
      <c r="L144" s="6"/>
      <c r="M144" s="6"/>
      <c r="N144" s="84"/>
      <c r="O144" s="80" t="str">
        <f>IF(N144="","",VLOOKUP(N144,ROLES!B:C,2,FALSE))</f>
        <v/>
      </c>
      <c r="P144" s="15"/>
      <c r="Q144" s="15"/>
      <c r="R144" s="16">
        <f t="shared" si="6"/>
        <v>0</v>
      </c>
      <c r="S144" s="16"/>
      <c r="T144" s="80" t="str">
        <f>IF(S144="","",VLOOKUP(S144,VALORACION!F:G,2,FALSE))</f>
        <v/>
      </c>
      <c r="U144" s="11"/>
      <c r="V144" s="80" t="str">
        <f>IF(U144="","",VLOOKUP(U144,ROLES!G:H,2,FALSE))</f>
        <v/>
      </c>
      <c r="W144" s="11"/>
      <c r="X144" s="80" t="str">
        <f>IF(W144="","",VLOOKUP(W144,ROLES!I:J,2,FALSE))</f>
        <v/>
      </c>
      <c r="Y144" s="95" t="e">
        <f t="shared" si="5"/>
        <v>#VALUE!</v>
      </c>
      <c r="Z144" s="6"/>
      <c r="AA144" s="6"/>
    </row>
    <row r="145" spans="1:27" ht="28.95" customHeight="1" x14ac:dyDescent="0.3">
      <c r="A145" s="91"/>
      <c r="B145" s="91"/>
      <c r="C145" s="80"/>
      <c r="D145" s="91"/>
      <c r="E145" s="80"/>
      <c r="F145" s="6"/>
      <c r="G145" s="6"/>
      <c r="H145" s="25"/>
      <c r="I145" s="133"/>
      <c r="J145" s="6"/>
      <c r="K145" s="6"/>
      <c r="L145" s="6"/>
      <c r="M145" s="6"/>
      <c r="N145" s="84"/>
      <c r="O145" s="80" t="str">
        <f>IF(N145="","",VLOOKUP(N145,ROLES!B:C,2,FALSE))</f>
        <v/>
      </c>
      <c r="P145" s="15"/>
      <c r="Q145" s="15"/>
      <c r="R145" s="16">
        <f t="shared" si="6"/>
        <v>0</v>
      </c>
      <c r="S145" s="16"/>
      <c r="T145" s="80" t="str">
        <f>IF(S145="","",VLOOKUP(S145,VALORACION!F:G,2,FALSE))</f>
        <v/>
      </c>
      <c r="U145" s="11"/>
      <c r="V145" s="80" t="str">
        <f>IF(U145="","",VLOOKUP(U145,ROLES!G:H,2,FALSE))</f>
        <v/>
      </c>
      <c r="W145" s="11"/>
      <c r="X145" s="80" t="str">
        <f>IF(W145="","",VLOOKUP(W145,ROLES!I:J,2,FALSE))</f>
        <v/>
      </c>
      <c r="Y145" s="95" t="e">
        <f t="shared" si="5"/>
        <v>#VALUE!</v>
      </c>
      <c r="Z145" s="6"/>
      <c r="AA145" s="6"/>
    </row>
    <row r="146" spans="1:27" ht="28.95" customHeight="1" x14ac:dyDescent="0.3">
      <c r="A146" s="91"/>
      <c r="B146" s="91"/>
      <c r="C146" s="80"/>
      <c r="D146" s="91"/>
      <c r="E146" s="80"/>
      <c r="F146" s="6"/>
      <c r="G146" s="6"/>
      <c r="H146" s="25"/>
      <c r="I146" s="133"/>
      <c r="J146" s="6"/>
      <c r="K146" s="6"/>
      <c r="L146" s="6"/>
      <c r="M146" s="6"/>
      <c r="N146" s="84"/>
      <c r="O146" s="80" t="str">
        <f>IF(N146="","",VLOOKUP(N146,ROLES!B:C,2,FALSE))</f>
        <v/>
      </c>
      <c r="P146" s="15"/>
      <c r="Q146" s="15"/>
      <c r="R146" s="16">
        <f t="shared" si="6"/>
        <v>0</v>
      </c>
      <c r="S146" s="16"/>
      <c r="T146" s="80" t="str">
        <f>IF(S146="","",VLOOKUP(S146,VALORACION!F:G,2,FALSE))</f>
        <v/>
      </c>
      <c r="U146" s="11"/>
      <c r="V146" s="80" t="str">
        <f>IF(U146="","",VLOOKUP(U146,ROLES!G:H,2,FALSE))</f>
        <v/>
      </c>
      <c r="W146" s="11"/>
      <c r="X146" s="80" t="str">
        <f>IF(W146="","",VLOOKUP(W146,ROLES!I:J,2,FALSE))</f>
        <v/>
      </c>
      <c r="Y146" s="95" t="e">
        <f t="shared" si="5"/>
        <v>#VALUE!</v>
      </c>
      <c r="Z146" s="6"/>
      <c r="AA146" s="6"/>
    </row>
    <row r="147" spans="1:27" ht="28.95" customHeight="1" x14ac:dyDescent="0.3">
      <c r="A147" s="91"/>
      <c r="B147" s="91"/>
      <c r="C147" s="80"/>
      <c r="D147" s="91"/>
      <c r="E147" s="80"/>
      <c r="F147" s="6"/>
      <c r="G147" s="6"/>
      <c r="H147" s="25"/>
      <c r="I147" s="133"/>
      <c r="J147" s="6"/>
      <c r="K147" s="6"/>
      <c r="L147" s="6"/>
      <c r="M147" s="6"/>
      <c r="N147" s="84"/>
      <c r="O147" s="80" t="str">
        <f>IF(N147="","",VLOOKUP(N147,ROLES!B:C,2,FALSE))</f>
        <v/>
      </c>
      <c r="P147" s="15"/>
      <c r="Q147" s="15"/>
      <c r="R147" s="16">
        <f t="shared" si="6"/>
        <v>0</v>
      </c>
      <c r="S147" s="16"/>
      <c r="T147" s="80" t="str">
        <f>IF(S147="","",VLOOKUP(S147,VALORACION!F:G,2,FALSE))</f>
        <v/>
      </c>
      <c r="U147" s="11"/>
      <c r="V147" s="80" t="str">
        <f>IF(U147="","",VLOOKUP(U147,ROLES!G:H,2,FALSE))</f>
        <v/>
      </c>
      <c r="W147" s="11"/>
      <c r="X147" s="80" t="str">
        <f>IF(W147="","",VLOOKUP(W147,ROLES!I:J,2,FALSE))</f>
        <v/>
      </c>
      <c r="Y147" s="95" t="e">
        <f t="shared" si="5"/>
        <v>#VALUE!</v>
      </c>
      <c r="Z147" s="6"/>
      <c r="AA147" s="6"/>
    </row>
    <row r="148" spans="1:27" ht="28.95" customHeight="1" x14ac:dyDescent="0.3">
      <c r="A148" s="91"/>
      <c r="B148" s="91"/>
      <c r="C148" s="80"/>
      <c r="D148" s="91"/>
      <c r="E148" s="80"/>
      <c r="F148" s="6"/>
      <c r="G148" s="6"/>
      <c r="H148" s="25"/>
      <c r="I148" s="133"/>
      <c r="J148" s="6"/>
      <c r="K148" s="6"/>
      <c r="L148" s="6"/>
      <c r="M148" s="6"/>
      <c r="N148" s="84"/>
      <c r="O148" s="80" t="str">
        <f>IF(N148="","",VLOOKUP(N148,ROLES!B:C,2,FALSE))</f>
        <v/>
      </c>
      <c r="P148" s="15"/>
      <c r="Q148" s="15"/>
      <c r="R148" s="16">
        <f t="shared" si="6"/>
        <v>0</v>
      </c>
      <c r="S148" s="16"/>
      <c r="T148" s="80" t="str">
        <f>IF(S148="","",VLOOKUP(S148,VALORACION!F:G,2,FALSE))</f>
        <v/>
      </c>
      <c r="U148" s="11"/>
      <c r="V148" s="80" t="str">
        <f>IF(U148="","",VLOOKUP(U148,ROLES!G:H,2,FALSE))</f>
        <v/>
      </c>
      <c r="W148" s="11"/>
      <c r="X148" s="80" t="str">
        <f>IF(W148="","",VLOOKUP(W148,ROLES!I:J,2,FALSE))</f>
        <v/>
      </c>
      <c r="Y148" s="95" t="e">
        <f t="shared" si="5"/>
        <v>#VALUE!</v>
      </c>
      <c r="Z148" s="6"/>
      <c r="AA148" s="6"/>
    </row>
    <row r="149" spans="1:27" ht="28.95" customHeight="1" x14ac:dyDescent="0.3">
      <c r="A149" s="91"/>
      <c r="B149" s="91"/>
      <c r="C149" s="80"/>
      <c r="D149" s="91"/>
      <c r="E149" s="80"/>
      <c r="F149" s="6"/>
      <c r="G149" s="6"/>
      <c r="H149" s="25"/>
      <c r="I149" s="133"/>
      <c r="J149" s="6"/>
      <c r="K149" s="6"/>
      <c r="L149" s="6"/>
      <c r="M149" s="6"/>
      <c r="N149" s="84"/>
      <c r="O149" s="80" t="str">
        <f>IF(N149="","",VLOOKUP(N149,ROLES!B:C,2,FALSE))</f>
        <v/>
      </c>
      <c r="P149" s="15"/>
      <c r="Q149" s="15"/>
      <c r="R149" s="16">
        <f t="shared" si="6"/>
        <v>0</v>
      </c>
      <c r="S149" s="16"/>
      <c r="T149" s="80" t="str">
        <f>IF(S149="","",VLOOKUP(S149,VALORACION!F:G,2,FALSE))</f>
        <v/>
      </c>
      <c r="U149" s="11"/>
      <c r="V149" s="80" t="str">
        <f>IF(U149="","",VLOOKUP(U149,ROLES!G:H,2,FALSE))</f>
        <v/>
      </c>
      <c r="W149" s="11"/>
      <c r="X149" s="80" t="str">
        <f>IF(W149="","",VLOOKUP(W149,ROLES!I:J,2,FALSE))</f>
        <v/>
      </c>
      <c r="Y149" s="95" t="e">
        <f t="shared" si="5"/>
        <v>#VALUE!</v>
      </c>
      <c r="Z149" s="6"/>
      <c r="AA149" s="6"/>
    </row>
    <row r="150" spans="1:27" ht="28.95" customHeight="1" x14ac:dyDescent="0.3">
      <c r="A150" s="91"/>
      <c r="B150" s="91"/>
      <c r="C150" s="80"/>
      <c r="D150" s="91"/>
      <c r="E150" s="80"/>
      <c r="F150" s="6"/>
      <c r="G150" s="6"/>
      <c r="H150" s="25"/>
      <c r="I150" s="133"/>
      <c r="J150" s="6"/>
      <c r="K150" s="6"/>
      <c r="L150" s="6"/>
      <c r="M150" s="6"/>
      <c r="N150" s="84"/>
      <c r="O150" s="80" t="str">
        <f>IF(N150="","",VLOOKUP(N150,ROLES!B:C,2,FALSE))</f>
        <v/>
      </c>
      <c r="P150" s="15"/>
      <c r="Q150" s="15"/>
      <c r="R150" s="16">
        <f t="shared" si="6"/>
        <v>0</v>
      </c>
      <c r="S150" s="16"/>
      <c r="T150" s="80" t="str">
        <f>IF(S150="","",VLOOKUP(S150,VALORACION!F:G,2,FALSE))</f>
        <v/>
      </c>
      <c r="U150" s="11"/>
      <c r="V150" s="80" t="str">
        <f>IF(U150="","",VLOOKUP(U150,ROLES!G:H,2,FALSE))</f>
        <v/>
      </c>
      <c r="W150" s="11"/>
      <c r="X150" s="80" t="str">
        <f>IF(W150="","",VLOOKUP(W150,ROLES!I:J,2,FALSE))</f>
        <v/>
      </c>
      <c r="Y150" s="95" t="e">
        <f t="shared" si="5"/>
        <v>#VALUE!</v>
      </c>
      <c r="Z150" s="6"/>
      <c r="AA150" s="6"/>
    </row>
    <row r="151" spans="1:27" ht="28.95" customHeight="1" x14ac:dyDescent="0.3">
      <c r="A151" s="91"/>
      <c r="B151" s="91"/>
      <c r="C151" s="80"/>
      <c r="D151" s="91"/>
      <c r="E151" s="80"/>
      <c r="F151" s="6"/>
      <c r="G151" s="6"/>
      <c r="H151" s="25"/>
      <c r="I151" s="133"/>
      <c r="J151" s="6"/>
      <c r="K151" s="6"/>
      <c r="L151" s="6"/>
      <c r="M151" s="6"/>
      <c r="N151" s="84"/>
      <c r="O151" s="80" t="str">
        <f>IF(N151="","",VLOOKUP(N151,ROLES!B:C,2,FALSE))</f>
        <v/>
      </c>
      <c r="P151" s="15"/>
      <c r="Q151" s="15"/>
      <c r="R151" s="16">
        <f t="shared" si="6"/>
        <v>0</v>
      </c>
      <c r="S151" s="16"/>
      <c r="T151" s="80" t="str">
        <f>IF(S151="","",VLOOKUP(S151,VALORACION!F:G,2,FALSE))</f>
        <v/>
      </c>
      <c r="U151" s="11"/>
      <c r="V151" s="80" t="str">
        <f>IF(U151="","",VLOOKUP(U151,ROLES!G:H,2,FALSE))</f>
        <v/>
      </c>
      <c r="W151" s="11"/>
      <c r="X151" s="80" t="str">
        <f>IF(W151="","",VLOOKUP(W151,ROLES!I:J,2,FALSE))</f>
        <v/>
      </c>
      <c r="Y151" s="95" t="e">
        <f t="shared" si="5"/>
        <v>#VALUE!</v>
      </c>
      <c r="Z151" s="6"/>
      <c r="AA151" s="6"/>
    </row>
    <row r="152" spans="1:27" ht="28.95" customHeight="1" x14ac:dyDescent="0.3">
      <c r="A152" s="91"/>
      <c r="B152" s="91"/>
      <c r="C152" s="80"/>
      <c r="D152" s="91"/>
      <c r="E152" s="80"/>
      <c r="F152" s="6"/>
      <c r="G152" s="6"/>
      <c r="H152" s="25"/>
      <c r="I152" s="133"/>
      <c r="J152" s="6"/>
      <c r="K152" s="6"/>
      <c r="L152" s="6"/>
      <c r="M152" s="6"/>
      <c r="N152" s="84"/>
      <c r="O152" s="80" t="str">
        <f>IF(N152="","",VLOOKUP(N152,ROLES!B:C,2,FALSE))</f>
        <v/>
      </c>
      <c r="P152" s="15"/>
      <c r="Q152" s="15"/>
      <c r="R152" s="16">
        <f t="shared" si="6"/>
        <v>0</v>
      </c>
      <c r="S152" s="16"/>
      <c r="T152" s="80" t="str">
        <f>IF(S152="","",VLOOKUP(S152,VALORACION!F:G,2,FALSE))</f>
        <v/>
      </c>
      <c r="U152" s="11"/>
      <c r="V152" s="80" t="str">
        <f>IF(U152="","",VLOOKUP(U152,ROLES!G:H,2,FALSE))</f>
        <v/>
      </c>
      <c r="W152" s="11"/>
      <c r="X152" s="80" t="str">
        <f>IF(W152="","",VLOOKUP(W152,ROLES!I:J,2,FALSE))</f>
        <v/>
      </c>
      <c r="Y152" s="95" t="e">
        <f t="shared" si="5"/>
        <v>#VALUE!</v>
      </c>
      <c r="Z152" s="6"/>
      <c r="AA152" s="6"/>
    </row>
    <row r="153" spans="1:27" ht="28.95" customHeight="1" x14ac:dyDescent="0.3">
      <c r="A153" s="91"/>
      <c r="B153" s="91"/>
      <c r="C153" s="80"/>
      <c r="D153" s="91"/>
      <c r="E153" s="80"/>
      <c r="F153" s="6"/>
      <c r="G153" s="6"/>
      <c r="H153" s="25"/>
      <c r="I153" s="133"/>
      <c r="J153" s="6"/>
      <c r="K153" s="6"/>
      <c r="L153" s="6"/>
      <c r="M153" s="6"/>
      <c r="N153" s="84"/>
      <c r="O153" s="80" t="str">
        <f>IF(N153="","",VLOOKUP(N153,ROLES!B:C,2,FALSE))</f>
        <v/>
      </c>
      <c r="P153" s="15"/>
      <c r="Q153" s="15"/>
      <c r="R153" s="16">
        <f t="shared" si="6"/>
        <v>0</v>
      </c>
      <c r="S153" s="16"/>
      <c r="T153" s="80" t="str">
        <f>IF(S153="","",VLOOKUP(S153,VALORACION!F:G,2,FALSE))</f>
        <v/>
      </c>
      <c r="U153" s="11"/>
      <c r="V153" s="80" t="str">
        <f>IF(U153="","",VLOOKUP(U153,ROLES!G:H,2,FALSE))</f>
        <v/>
      </c>
      <c r="W153" s="11"/>
      <c r="X153" s="80" t="str">
        <f>IF(W153="","",VLOOKUP(W153,ROLES!I:J,2,FALSE))</f>
        <v/>
      </c>
      <c r="Y153" s="95" t="e">
        <f t="shared" si="5"/>
        <v>#VALUE!</v>
      </c>
      <c r="Z153" s="6"/>
      <c r="AA153" s="6"/>
    </row>
    <row r="154" spans="1:27" ht="28.95" customHeight="1" x14ac:dyDescent="0.3">
      <c r="A154" s="91"/>
      <c r="B154" s="91"/>
      <c r="C154" s="80"/>
      <c r="D154" s="91"/>
      <c r="E154" s="80"/>
      <c r="F154" s="6"/>
      <c r="G154" s="6"/>
      <c r="H154" s="25"/>
      <c r="I154" s="133"/>
      <c r="J154" s="6"/>
      <c r="K154" s="6"/>
      <c r="L154" s="6"/>
      <c r="M154" s="6"/>
      <c r="N154" s="84"/>
      <c r="O154" s="80" t="str">
        <f>IF(N154="","",VLOOKUP(N154,ROLES!B:C,2,FALSE))</f>
        <v/>
      </c>
      <c r="P154" s="15"/>
      <c r="Q154" s="15"/>
      <c r="R154" s="16">
        <f t="shared" si="6"/>
        <v>0</v>
      </c>
      <c r="S154" s="16"/>
      <c r="T154" s="80" t="str">
        <f>IF(S154="","",VLOOKUP(S154,VALORACION!F:G,2,FALSE))</f>
        <v/>
      </c>
      <c r="U154" s="11"/>
      <c r="V154" s="80" t="str">
        <f>IF(U154="","",VLOOKUP(U154,ROLES!G:H,2,FALSE))</f>
        <v/>
      </c>
      <c r="W154" s="11"/>
      <c r="X154" s="80" t="str">
        <f>IF(W154="","",VLOOKUP(W154,ROLES!I:J,2,FALSE))</f>
        <v/>
      </c>
      <c r="Y154" s="95" t="e">
        <f t="shared" si="5"/>
        <v>#VALUE!</v>
      </c>
      <c r="Z154" s="6"/>
      <c r="AA154" s="6"/>
    </row>
    <row r="155" spans="1:27" ht="28.95" customHeight="1" x14ac:dyDescent="0.3">
      <c r="A155" s="91"/>
      <c r="B155" s="91"/>
      <c r="C155" s="80"/>
      <c r="D155" s="91"/>
      <c r="E155" s="80"/>
      <c r="F155" s="6"/>
      <c r="G155" s="6"/>
      <c r="H155" s="25"/>
      <c r="I155" s="133"/>
      <c r="J155" s="6"/>
      <c r="K155" s="6"/>
      <c r="L155" s="6"/>
      <c r="M155" s="6"/>
      <c r="N155" s="84"/>
      <c r="O155" s="80" t="str">
        <f>IF(N155="","",VLOOKUP(N155,ROLES!B:C,2,FALSE))</f>
        <v/>
      </c>
      <c r="P155" s="15"/>
      <c r="Q155" s="15"/>
      <c r="R155" s="16">
        <f t="shared" si="6"/>
        <v>0</v>
      </c>
      <c r="S155" s="16"/>
      <c r="T155" s="80" t="str">
        <f>IF(S155="","",VLOOKUP(S155,VALORACION!F:G,2,FALSE))</f>
        <v/>
      </c>
      <c r="U155" s="11"/>
      <c r="V155" s="80" t="str">
        <f>IF(U155="","",VLOOKUP(U155,ROLES!G:H,2,FALSE))</f>
        <v/>
      </c>
      <c r="W155" s="11"/>
      <c r="X155" s="80" t="str">
        <f>IF(W155="","",VLOOKUP(W155,ROLES!I:J,2,FALSE))</f>
        <v/>
      </c>
      <c r="Y155" s="95" t="e">
        <f t="shared" si="5"/>
        <v>#VALUE!</v>
      </c>
      <c r="Z155" s="6"/>
      <c r="AA155" s="6"/>
    </row>
    <row r="156" spans="1:27" ht="28.95" customHeight="1" x14ac:dyDescent="0.3">
      <c r="A156" s="91"/>
      <c r="B156" s="91"/>
      <c r="C156" s="80"/>
      <c r="D156" s="91"/>
      <c r="E156" s="80"/>
      <c r="F156" s="6"/>
      <c r="G156" s="6"/>
      <c r="H156" s="25"/>
      <c r="I156" s="133"/>
      <c r="J156" s="6"/>
      <c r="K156" s="6"/>
      <c r="L156" s="6"/>
      <c r="M156" s="6"/>
      <c r="N156" s="84"/>
      <c r="O156" s="80" t="str">
        <f>IF(N156="","",VLOOKUP(N156,ROLES!B:C,2,FALSE))</f>
        <v/>
      </c>
      <c r="P156" s="15"/>
      <c r="Q156" s="15"/>
      <c r="R156" s="16">
        <f t="shared" si="6"/>
        <v>0</v>
      </c>
      <c r="S156" s="16"/>
      <c r="T156" s="80" t="str">
        <f>IF(S156="","",VLOOKUP(S156,VALORACION!F:G,2,FALSE))</f>
        <v/>
      </c>
      <c r="U156" s="11"/>
      <c r="V156" s="80" t="str">
        <f>IF(U156="","",VLOOKUP(U156,ROLES!G:H,2,FALSE))</f>
        <v/>
      </c>
      <c r="W156" s="11"/>
      <c r="X156" s="80" t="str">
        <f>IF(W156="","",VLOOKUP(W156,ROLES!I:J,2,FALSE))</f>
        <v/>
      </c>
      <c r="Y156" s="95" t="e">
        <f t="shared" si="5"/>
        <v>#VALUE!</v>
      </c>
      <c r="Z156" s="6"/>
      <c r="AA156" s="6"/>
    </row>
    <row r="157" spans="1:27" ht="28.95" customHeight="1" x14ac:dyDescent="0.3">
      <c r="A157" s="91"/>
      <c r="B157" s="91"/>
      <c r="C157" s="80"/>
      <c r="D157" s="91"/>
      <c r="E157" s="80"/>
      <c r="F157" s="6"/>
      <c r="G157" s="6"/>
      <c r="H157" s="25"/>
      <c r="I157" s="133"/>
      <c r="J157" s="6"/>
      <c r="K157" s="6"/>
      <c r="L157" s="6"/>
      <c r="M157" s="6"/>
      <c r="N157" s="84"/>
      <c r="O157" s="80" t="str">
        <f>IF(N157="","",VLOOKUP(N157,ROLES!B:C,2,FALSE))</f>
        <v/>
      </c>
      <c r="P157" s="15"/>
      <c r="Q157" s="15"/>
      <c r="R157" s="16">
        <f t="shared" si="6"/>
        <v>0</v>
      </c>
      <c r="S157" s="16"/>
      <c r="T157" s="80" t="str">
        <f>IF(S157="","",VLOOKUP(S157,VALORACION!F:G,2,FALSE))</f>
        <v/>
      </c>
      <c r="U157" s="11"/>
      <c r="V157" s="80" t="str">
        <f>IF(U157="","",VLOOKUP(U157,ROLES!G:H,2,FALSE))</f>
        <v/>
      </c>
      <c r="W157" s="11"/>
      <c r="X157" s="80" t="str">
        <f>IF(W157="","",VLOOKUP(W157,ROLES!I:J,2,FALSE))</f>
        <v/>
      </c>
      <c r="Y157" s="95" t="e">
        <f t="shared" si="5"/>
        <v>#VALUE!</v>
      </c>
      <c r="Z157" s="6"/>
      <c r="AA157" s="6"/>
    </row>
    <row r="158" spans="1:27" ht="28.95" customHeight="1" x14ac:dyDescent="0.3">
      <c r="A158" s="91"/>
      <c r="B158" s="91"/>
      <c r="C158" s="80"/>
      <c r="D158" s="91"/>
      <c r="E158" s="80"/>
      <c r="F158" s="6"/>
      <c r="G158" s="6"/>
      <c r="H158" s="25"/>
      <c r="I158" s="133"/>
      <c r="J158" s="6"/>
      <c r="K158" s="6"/>
      <c r="L158" s="6"/>
      <c r="M158" s="6"/>
      <c r="N158" s="84"/>
      <c r="O158" s="80" t="str">
        <f>IF(N158="","",VLOOKUP(N158,ROLES!B:C,2,FALSE))</f>
        <v/>
      </c>
      <c r="P158" s="15"/>
      <c r="Q158" s="15"/>
      <c r="R158" s="16">
        <f t="shared" si="6"/>
        <v>0</v>
      </c>
      <c r="S158" s="16"/>
      <c r="T158" s="80" t="str">
        <f>IF(S158="","",VLOOKUP(S158,VALORACION!F:G,2,FALSE))</f>
        <v/>
      </c>
      <c r="U158" s="11"/>
      <c r="V158" s="80" t="str">
        <f>IF(U158="","",VLOOKUP(U158,ROLES!G:H,2,FALSE))</f>
        <v/>
      </c>
      <c r="W158" s="11"/>
      <c r="X158" s="80" t="str">
        <f>IF(W158="","",VLOOKUP(W158,ROLES!I:J,2,FALSE))</f>
        <v/>
      </c>
      <c r="Y158" s="95" t="e">
        <f t="shared" si="5"/>
        <v>#VALUE!</v>
      </c>
      <c r="Z158" s="6"/>
      <c r="AA158" s="6"/>
    </row>
    <row r="159" spans="1:27" ht="28.95" customHeight="1" x14ac:dyDescent="0.3">
      <c r="A159" s="91"/>
      <c r="B159" s="91"/>
      <c r="C159" s="80"/>
      <c r="D159" s="91"/>
      <c r="E159" s="80"/>
      <c r="F159" s="6"/>
      <c r="G159" s="6"/>
      <c r="H159" s="25"/>
      <c r="I159" s="133"/>
      <c r="J159" s="6"/>
      <c r="K159" s="6"/>
      <c r="L159" s="6"/>
      <c r="M159" s="6"/>
      <c r="N159" s="84"/>
      <c r="O159" s="80" t="str">
        <f>IF(N159="","",VLOOKUP(N159,ROLES!B:C,2,FALSE))</f>
        <v/>
      </c>
      <c r="P159" s="15"/>
      <c r="Q159" s="15"/>
      <c r="R159" s="16">
        <f t="shared" si="6"/>
        <v>0</v>
      </c>
      <c r="S159" s="16"/>
      <c r="T159" s="80" t="str">
        <f>IF(S159="","",VLOOKUP(S159,VALORACION!F:G,2,FALSE))</f>
        <v/>
      </c>
      <c r="U159" s="11"/>
      <c r="V159" s="80" t="str">
        <f>IF(U159="","",VLOOKUP(U159,ROLES!G:H,2,FALSE))</f>
        <v/>
      </c>
      <c r="W159" s="11"/>
      <c r="X159" s="80" t="str">
        <f>IF(W159="","",VLOOKUP(W159,ROLES!I:J,2,FALSE))</f>
        <v/>
      </c>
      <c r="Y159" s="95" t="e">
        <f t="shared" si="5"/>
        <v>#VALUE!</v>
      </c>
      <c r="Z159" s="6"/>
      <c r="AA159" s="6"/>
    </row>
    <row r="160" spans="1:27" ht="28.95" customHeight="1" x14ac:dyDescent="0.3">
      <c r="A160" s="91"/>
      <c r="B160" s="91"/>
      <c r="C160" s="80"/>
      <c r="D160" s="91"/>
      <c r="E160" s="80"/>
      <c r="F160" s="6"/>
      <c r="G160" s="6"/>
      <c r="H160" s="25"/>
      <c r="I160" s="133"/>
      <c r="J160" s="6"/>
      <c r="K160" s="6"/>
      <c r="L160" s="6"/>
      <c r="M160" s="6"/>
      <c r="N160" s="84"/>
      <c r="O160" s="80" t="str">
        <f>IF(N160="","",VLOOKUP(N160,ROLES!B:C,2,FALSE))</f>
        <v/>
      </c>
      <c r="P160" s="15"/>
      <c r="Q160" s="15"/>
      <c r="R160" s="16">
        <f t="shared" si="6"/>
        <v>0</v>
      </c>
      <c r="S160" s="16"/>
      <c r="T160" s="80" t="str">
        <f>IF(S160="","",VLOOKUP(S160,VALORACION!F:G,2,FALSE))</f>
        <v/>
      </c>
      <c r="U160" s="11"/>
      <c r="V160" s="80" t="str">
        <f>IF(U160="","",VLOOKUP(U160,ROLES!G:H,2,FALSE))</f>
        <v/>
      </c>
      <c r="W160" s="11"/>
      <c r="X160" s="80" t="str">
        <f>IF(W160="","",VLOOKUP(W160,ROLES!I:J,2,FALSE))</f>
        <v/>
      </c>
      <c r="Y160" s="95" t="e">
        <f t="shared" si="5"/>
        <v>#VALUE!</v>
      </c>
      <c r="Z160" s="6"/>
      <c r="AA160" s="6"/>
    </row>
    <row r="161" spans="1:27" ht="28.95" customHeight="1" x14ac:dyDescent="0.3">
      <c r="A161" s="91"/>
      <c r="B161" s="91"/>
      <c r="C161" s="80"/>
      <c r="D161" s="91"/>
      <c r="E161" s="80"/>
      <c r="F161" s="6"/>
      <c r="G161" s="6"/>
      <c r="H161" s="25"/>
      <c r="I161" s="133"/>
      <c r="J161" s="6"/>
      <c r="K161" s="6"/>
      <c r="L161" s="6"/>
      <c r="M161" s="6"/>
      <c r="N161" s="84"/>
      <c r="O161" s="80" t="str">
        <f>IF(N161="","",VLOOKUP(N161,ROLES!B:C,2,FALSE))</f>
        <v/>
      </c>
      <c r="P161" s="15"/>
      <c r="Q161" s="15"/>
      <c r="R161" s="16">
        <f t="shared" si="6"/>
        <v>0</v>
      </c>
      <c r="S161" s="16"/>
      <c r="T161" s="80" t="str">
        <f>IF(S161="","",VLOOKUP(S161,VALORACION!F:G,2,FALSE))</f>
        <v/>
      </c>
      <c r="U161" s="11"/>
      <c r="V161" s="80" t="str">
        <f>IF(U161="","",VLOOKUP(U161,ROLES!G:H,2,FALSE))</f>
        <v/>
      </c>
      <c r="W161" s="11"/>
      <c r="X161" s="80" t="str">
        <f>IF(W161="","",VLOOKUP(W161,ROLES!I:J,2,FALSE))</f>
        <v/>
      </c>
      <c r="Y161" s="95" t="e">
        <f t="shared" si="5"/>
        <v>#VALUE!</v>
      </c>
      <c r="Z161" s="6"/>
      <c r="AA161" s="6"/>
    </row>
    <row r="162" spans="1:27" ht="28.95" customHeight="1" x14ac:dyDescent="0.3">
      <c r="A162" s="91"/>
      <c r="B162" s="91"/>
      <c r="C162" s="80"/>
      <c r="D162" s="91"/>
      <c r="E162" s="80"/>
      <c r="F162" s="6"/>
      <c r="G162" s="6"/>
      <c r="H162" s="25"/>
      <c r="I162" s="133"/>
      <c r="J162" s="6"/>
      <c r="K162" s="6"/>
      <c r="L162" s="6"/>
      <c r="M162" s="6"/>
      <c r="N162" s="84"/>
      <c r="O162" s="80" t="str">
        <f>IF(N162="","",VLOOKUP(N162,ROLES!B:C,2,FALSE))</f>
        <v/>
      </c>
      <c r="P162" s="15"/>
      <c r="Q162" s="15"/>
      <c r="R162" s="16">
        <f t="shared" si="6"/>
        <v>0</v>
      </c>
      <c r="S162" s="16"/>
      <c r="T162" s="80" t="str">
        <f>IF(S162="","",VLOOKUP(S162,VALORACION!F:G,2,FALSE))</f>
        <v/>
      </c>
      <c r="U162" s="11"/>
      <c r="V162" s="80" t="str">
        <f>IF(U162="","",VLOOKUP(U162,ROLES!G:H,2,FALSE))</f>
        <v/>
      </c>
      <c r="W162" s="11"/>
      <c r="X162" s="80" t="str">
        <f>IF(W162="","",VLOOKUP(W162,ROLES!I:J,2,FALSE))</f>
        <v/>
      </c>
      <c r="Y162" s="95" t="e">
        <f t="shared" si="5"/>
        <v>#VALUE!</v>
      </c>
      <c r="Z162" s="6"/>
      <c r="AA162" s="6"/>
    </row>
    <row r="163" spans="1:27" ht="28.95" customHeight="1" x14ac:dyDescent="0.3">
      <c r="A163" s="91"/>
      <c r="B163" s="91"/>
      <c r="C163" s="80"/>
      <c r="D163" s="91"/>
      <c r="E163" s="80"/>
      <c r="F163" s="6"/>
      <c r="G163" s="6"/>
      <c r="H163" s="25"/>
      <c r="I163" s="133"/>
      <c r="J163" s="6"/>
      <c r="K163" s="6"/>
      <c r="L163" s="6"/>
      <c r="M163" s="6"/>
      <c r="N163" s="84"/>
      <c r="O163" s="80" t="str">
        <f>IF(N163="","",VLOOKUP(N163,ROLES!B:C,2,FALSE))</f>
        <v/>
      </c>
      <c r="P163" s="15"/>
      <c r="Q163" s="15"/>
      <c r="R163" s="16">
        <f t="shared" si="6"/>
        <v>0</v>
      </c>
      <c r="S163" s="16"/>
      <c r="T163" s="80" t="str">
        <f>IF(S163="","",VLOOKUP(S163,VALORACION!F:G,2,FALSE))</f>
        <v/>
      </c>
      <c r="U163" s="11"/>
      <c r="V163" s="80" t="str">
        <f>IF(U163="","",VLOOKUP(U163,ROLES!G:H,2,FALSE))</f>
        <v/>
      </c>
      <c r="W163" s="11"/>
      <c r="X163" s="80" t="str">
        <f>IF(W163="","",VLOOKUP(W163,ROLES!I:J,2,FALSE))</f>
        <v/>
      </c>
      <c r="Y163" s="95" t="e">
        <f t="shared" si="5"/>
        <v>#VALUE!</v>
      </c>
      <c r="Z163" s="6"/>
      <c r="AA163" s="6"/>
    </row>
    <row r="164" spans="1:27" ht="28.95" customHeight="1" x14ac:dyDescent="0.3">
      <c r="A164" s="91"/>
      <c r="B164" s="91"/>
      <c r="C164" s="80"/>
      <c r="D164" s="91"/>
      <c r="E164" s="80"/>
      <c r="F164" s="6"/>
      <c r="G164" s="6"/>
      <c r="H164" s="25"/>
      <c r="I164" s="133"/>
      <c r="J164" s="6"/>
      <c r="K164" s="6"/>
      <c r="L164" s="6"/>
      <c r="M164" s="6"/>
      <c r="N164" s="84"/>
      <c r="O164" s="80" t="str">
        <f>IF(N164="","",VLOOKUP(N164,ROLES!B:C,2,FALSE))</f>
        <v/>
      </c>
      <c r="P164" s="15"/>
      <c r="Q164" s="15"/>
      <c r="R164" s="16">
        <f t="shared" si="6"/>
        <v>0</v>
      </c>
      <c r="S164" s="16"/>
      <c r="T164" s="80" t="str">
        <f>IF(S164="","",VLOOKUP(S164,VALORACION!F:G,2,FALSE))</f>
        <v/>
      </c>
      <c r="U164" s="11"/>
      <c r="V164" s="80" t="str">
        <f>IF(U164="","",VLOOKUP(U164,ROLES!G:H,2,FALSE))</f>
        <v/>
      </c>
      <c r="W164" s="11"/>
      <c r="X164" s="80" t="str">
        <f>IF(W164="","",VLOOKUP(W164,ROLES!I:J,2,FALSE))</f>
        <v/>
      </c>
      <c r="Y164" s="95" t="e">
        <f t="shared" si="5"/>
        <v>#VALUE!</v>
      </c>
      <c r="Z164" s="6"/>
      <c r="AA164" s="6"/>
    </row>
    <row r="165" spans="1:27" ht="28.95" customHeight="1" x14ac:dyDescent="0.3">
      <c r="A165" s="91"/>
      <c r="B165" s="91"/>
      <c r="C165" s="80"/>
      <c r="D165" s="91"/>
      <c r="E165" s="80"/>
      <c r="F165" s="6"/>
      <c r="G165" s="6"/>
      <c r="H165" s="25"/>
      <c r="I165" s="133"/>
      <c r="J165" s="6"/>
      <c r="K165" s="6"/>
      <c r="L165" s="6"/>
      <c r="M165" s="6"/>
      <c r="N165" s="84"/>
      <c r="O165" s="80" t="str">
        <f>IF(N165="","",VLOOKUP(N165,ROLES!B:C,2,FALSE))</f>
        <v/>
      </c>
      <c r="P165" s="15"/>
      <c r="Q165" s="15"/>
      <c r="R165" s="16">
        <f t="shared" si="6"/>
        <v>0</v>
      </c>
      <c r="S165" s="16"/>
      <c r="T165" s="80" t="str">
        <f>IF(S165="","",VLOOKUP(S165,VALORACION!F:G,2,FALSE))</f>
        <v/>
      </c>
      <c r="U165" s="11"/>
      <c r="V165" s="80" t="str">
        <f>IF(U165="","",VLOOKUP(U165,ROLES!G:H,2,FALSE))</f>
        <v/>
      </c>
      <c r="W165" s="11"/>
      <c r="X165" s="80" t="str">
        <f>IF(W165="","",VLOOKUP(W165,ROLES!I:J,2,FALSE))</f>
        <v/>
      </c>
      <c r="Y165" s="95" t="e">
        <f t="shared" si="5"/>
        <v>#VALUE!</v>
      </c>
      <c r="Z165" s="6"/>
      <c r="AA165" s="6"/>
    </row>
    <row r="166" spans="1:27" ht="28.95" customHeight="1" x14ac:dyDescent="0.3">
      <c r="A166" s="91"/>
      <c r="B166" s="91"/>
      <c r="C166" s="80"/>
      <c r="D166" s="91"/>
      <c r="E166" s="80"/>
      <c r="F166" s="6"/>
      <c r="G166" s="6"/>
      <c r="H166" s="25"/>
      <c r="I166" s="133"/>
      <c r="J166" s="6"/>
      <c r="K166" s="6"/>
      <c r="L166" s="6"/>
      <c r="M166" s="6"/>
      <c r="N166" s="84"/>
      <c r="O166" s="80" t="str">
        <f>IF(N166="","",VLOOKUP(N166,ROLES!B:C,2,FALSE))</f>
        <v/>
      </c>
      <c r="P166" s="15"/>
      <c r="Q166" s="15"/>
      <c r="R166" s="16">
        <f t="shared" si="6"/>
        <v>0</v>
      </c>
      <c r="S166" s="16"/>
      <c r="T166" s="80" t="str">
        <f>IF(S166="","",VLOOKUP(S166,VALORACION!F:G,2,FALSE))</f>
        <v/>
      </c>
      <c r="U166" s="11"/>
      <c r="V166" s="80" t="str">
        <f>IF(U166="","",VLOOKUP(U166,ROLES!G:H,2,FALSE))</f>
        <v/>
      </c>
      <c r="W166" s="11"/>
      <c r="X166" s="80" t="str">
        <f>IF(W166="","",VLOOKUP(W166,ROLES!I:J,2,FALSE))</f>
        <v/>
      </c>
      <c r="Y166" s="95" t="e">
        <f t="shared" si="5"/>
        <v>#VALUE!</v>
      </c>
      <c r="Z166" s="6"/>
      <c r="AA166" s="6"/>
    </row>
    <row r="167" spans="1:27" ht="28.95" customHeight="1" x14ac:dyDescent="0.3">
      <c r="A167" s="91"/>
      <c r="B167" s="91"/>
      <c r="C167" s="80"/>
      <c r="D167" s="91"/>
      <c r="E167" s="80"/>
      <c r="F167" s="6"/>
      <c r="G167" s="6"/>
      <c r="H167" s="25"/>
      <c r="I167" s="133"/>
      <c r="J167" s="6"/>
      <c r="K167" s="6"/>
      <c r="L167" s="6"/>
      <c r="M167" s="6"/>
      <c r="N167" s="84"/>
      <c r="O167" s="80" t="str">
        <f>IF(N167="","",VLOOKUP(N167,ROLES!B:C,2,FALSE))</f>
        <v/>
      </c>
      <c r="P167" s="15"/>
      <c r="Q167" s="15"/>
      <c r="R167" s="16">
        <f t="shared" si="6"/>
        <v>0</v>
      </c>
      <c r="S167" s="16"/>
      <c r="T167" s="80" t="str">
        <f>IF(S167="","",VLOOKUP(S167,VALORACION!F:G,2,FALSE))</f>
        <v/>
      </c>
      <c r="U167" s="11"/>
      <c r="V167" s="80" t="str">
        <f>IF(U167="","",VLOOKUP(U167,ROLES!G:H,2,FALSE))</f>
        <v/>
      </c>
      <c r="W167" s="11"/>
      <c r="X167" s="80" t="str">
        <f>IF(W167="","",VLOOKUP(W167,ROLES!I:J,2,FALSE))</f>
        <v/>
      </c>
      <c r="Y167" s="95" t="e">
        <f t="shared" si="5"/>
        <v>#VALUE!</v>
      </c>
      <c r="Z167" s="6"/>
      <c r="AA167" s="6"/>
    </row>
    <row r="168" spans="1:27" ht="28.95" customHeight="1" x14ac:dyDescent="0.3">
      <c r="A168" s="91"/>
      <c r="B168" s="91"/>
      <c r="C168" s="80"/>
      <c r="D168" s="91"/>
      <c r="E168" s="80"/>
      <c r="F168" s="6"/>
      <c r="G168" s="6"/>
      <c r="H168" s="25"/>
      <c r="I168" s="133"/>
      <c r="J168" s="6"/>
      <c r="K168" s="6"/>
      <c r="L168" s="6"/>
      <c r="M168" s="6"/>
      <c r="N168" s="84"/>
      <c r="O168" s="80" t="str">
        <f>IF(N168="","",VLOOKUP(N168,ROLES!B:C,2,FALSE))</f>
        <v/>
      </c>
      <c r="P168" s="15"/>
      <c r="Q168" s="15"/>
      <c r="R168" s="16">
        <f t="shared" si="6"/>
        <v>0</v>
      </c>
      <c r="S168" s="16"/>
      <c r="T168" s="80" t="str">
        <f>IF(S168="","",VLOOKUP(S168,VALORACION!F:G,2,FALSE))</f>
        <v/>
      </c>
      <c r="U168" s="11"/>
      <c r="V168" s="80" t="str">
        <f>IF(U168="","",VLOOKUP(U168,ROLES!G:H,2,FALSE))</f>
        <v/>
      </c>
      <c r="W168" s="11"/>
      <c r="X168" s="80" t="str">
        <f>IF(W168="","",VLOOKUP(W168,ROLES!I:J,2,FALSE))</f>
        <v/>
      </c>
      <c r="Y168" s="95" t="e">
        <f t="shared" si="5"/>
        <v>#VALUE!</v>
      </c>
      <c r="Z168" s="6"/>
      <c r="AA168" s="6"/>
    </row>
    <row r="169" spans="1:27" ht="28.95" customHeight="1" x14ac:dyDescent="0.3">
      <c r="A169" s="91"/>
      <c r="B169" s="91"/>
      <c r="C169" s="80"/>
      <c r="D169" s="91"/>
      <c r="E169" s="80"/>
      <c r="F169" s="6"/>
      <c r="G169" s="6"/>
      <c r="H169" s="25"/>
      <c r="I169" s="133"/>
      <c r="J169" s="6"/>
      <c r="K169" s="6"/>
      <c r="L169" s="6"/>
      <c r="M169" s="6"/>
      <c r="N169" s="84"/>
      <c r="O169" s="80" t="str">
        <f>IF(N169="","",VLOOKUP(N169,ROLES!B:C,2,FALSE))</f>
        <v/>
      </c>
      <c r="P169" s="15"/>
      <c r="Q169" s="15"/>
      <c r="R169" s="16">
        <f t="shared" si="6"/>
        <v>0</v>
      </c>
      <c r="S169" s="16"/>
      <c r="T169" s="80" t="str">
        <f>IF(S169="","",VLOOKUP(S169,VALORACION!F:G,2,FALSE))</f>
        <v/>
      </c>
      <c r="U169" s="11"/>
      <c r="V169" s="80" t="str">
        <f>IF(U169="","",VLOOKUP(U169,ROLES!G:H,2,FALSE))</f>
        <v/>
      </c>
      <c r="W169" s="11"/>
      <c r="X169" s="80" t="str">
        <f>IF(W169="","",VLOOKUP(W169,ROLES!I:J,2,FALSE))</f>
        <v/>
      </c>
      <c r="Y169" s="95" t="e">
        <f t="shared" si="5"/>
        <v>#VALUE!</v>
      </c>
      <c r="Z169" s="6"/>
      <c r="AA169" s="6"/>
    </row>
    <row r="170" spans="1:27" ht="28.95" customHeight="1" x14ac:dyDescent="0.3">
      <c r="A170" s="91"/>
      <c r="B170" s="91"/>
      <c r="C170" s="80"/>
      <c r="D170" s="91"/>
      <c r="E170" s="80"/>
      <c r="F170" s="6"/>
      <c r="G170" s="6"/>
      <c r="H170" s="25"/>
      <c r="I170" s="133"/>
      <c r="J170" s="6"/>
      <c r="K170" s="6"/>
      <c r="L170" s="6"/>
      <c r="M170" s="6"/>
      <c r="N170" s="84"/>
      <c r="O170" s="80" t="str">
        <f>IF(N170="","",VLOOKUP(N170,ROLES!B:C,2,FALSE))</f>
        <v/>
      </c>
      <c r="P170" s="15"/>
      <c r="Q170" s="15"/>
      <c r="R170" s="16">
        <f t="shared" si="6"/>
        <v>0</v>
      </c>
      <c r="S170" s="16"/>
      <c r="T170" s="80" t="str">
        <f>IF(S170="","",VLOOKUP(S170,VALORACION!F:G,2,FALSE))</f>
        <v/>
      </c>
      <c r="U170" s="11"/>
      <c r="V170" s="80" t="str">
        <f>IF(U170="","",VLOOKUP(U170,ROLES!G:H,2,FALSE))</f>
        <v/>
      </c>
      <c r="W170" s="11"/>
      <c r="X170" s="80" t="str">
        <f>IF(W170="","",VLOOKUP(W170,ROLES!I:J,2,FALSE))</f>
        <v/>
      </c>
      <c r="Y170" s="95" t="e">
        <f t="shared" si="5"/>
        <v>#VALUE!</v>
      </c>
      <c r="Z170" s="6"/>
      <c r="AA170" s="6"/>
    </row>
    <row r="171" spans="1:27" ht="28.95" customHeight="1" x14ac:dyDescent="0.3">
      <c r="A171" s="91"/>
      <c r="B171" s="91"/>
      <c r="C171" s="80"/>
      <c r="D171" s="91"/>
      <c r="E171" s="80"/>
      <c r="F171" s="6"/>
      <c r="G171" s="6"/>
      <c r="H171" s="25"/>
      <c r="I171" s="133"/>
      <c r="J171" s="6"/>
      <c r="K171" s="6"/>
      <c r="L171" s="6"/>
      <c r="M171" s="6"/>
      <c r="N171" s="84"/>
      <c r="O171" s="80" t="str">
        <f>IF(N171="","",VLOOKUP(N171,ROLES!B:C,2,FALSE))</f>
        <v/>
      </c>
      <c r="P171" s="15"/>
      <c r="Q171" s="15"/>
      <c r="R171" s="16">
        <f t="shared" si="6"/>
        <v>0</v>
      </c>
      <c r="S171" s="16"/>
      <c r="T171" s="80" t="str">
        <f>IF(S171="","",VLOOKUP(S171,VALORACION!F:G,2,FALSE))</f>
        <v/>
      </c>
      <c r="U171" s="11"/>
      <c r="V171" s="80" t="str">
        <f>IF(U171="","",VLOOKUP(U171,ROLES!G:H,2,FALSE))</f>
        <v/>
      </c>
      <c r="W171" s="11"/>
      <c r="X171" s="80" t="str">
        <f>IF(W171="","",VLOOKUP(W171,ROLES!I:J,2,FALSE))</f>
        <v/>
      </c>
      <c r="Y171" s="95" t="e">
        <f t="shared" si="5"/>
        <v>#VALUE!</v>
      </c>
      <c r="Z171" s="6"/>
      <c r="AA171" s="6"/>
    </row>
    <row r="172" spans="1:27" ht="28.95" customHeight="1" x14ac:dyDescent="0.3">
      <c r="A172" s="91"/>
      <c r="B172" s="91"/>
      <c r="C172" s="80"/>
      <c r="D172" s="91"/>
      <c r="E172" s="80"/>
      <c r="F172" s="6"/>
      <c r="G172" s="6"/>
      <c r="H172" s="25"/>
      <c r="I172" s="133"/>
      <c r="J172" s="6"/>
      <c r="K172" s="6"/>
      <c r="L172" s="6"/>
      <c r="M172" s="6"/>
      <c r="N172" s="84"/>
      <c r="O172" s="80" t="str">
        <f>IF(N172="","",VLOOKUP(N172,ROLES!B:C,2,FALSE))</f>
        <v/>
      </c>
      <c r="P172" s="15"/>
      <c r="Q172" s="15"/>
      <c r="R172" s="16">
        <f t="shared" si="6"/>
        <v>0</v>
      </c>
      <c r="S172" s="16"/>
      <c r="T172" s="80" t="str">
        <f>IF(S172="","",VLOOKUP(S172,VALORACION!F:G,2,FALSE))</f>
        <v/>
      </c>
      <c r="U172" s="11"/>
      <c r="V172" s="80" t="str">
        <f>IF(U172="","",VLOOKUP(U172,ROLES!G:H,2,FALSE))</f>
        <v/>
      </c>
      <c r="W172" s="11"/>
      <c r="X172" s="80" t="str">
        <f>IF(W172="","",VLOOKUP(W172,ROLES!I:J,2,FALSE))</f>
        <v/>
      </c>
      <c r="Y172" s="95" t="e">
        <f t="shared" si="5"/>
        <v>#VALUE!</v>
      </c>
      <c r="Z172" s="6"/>
      <c r="AA172" s="6"/>
    </row>
    <row r="173" spans="1:27" ht="28.95" customHeight="1" x14ac:dyDescent="0.3">
      <c r="A173" s="91"/>
      <c r="B173" s="91"/>
      <c r="C173" s="80"/>
      <c r="D173" s="91"/>
      <c r="E173" s="80"/>
      <c r="F173" s="6"/>
      <c r="G173" s="6"/>
      <c r="H173" s="25"/>
      <c r="I173" s="133"/>
      <c r="J173" s="6"/>
      <c r="K173" s="6"/>
      <c r="L173" s="6"/>
      <c r="M173" s="6"/>
      <c r="N173" s="84"/>
      <c r="O173" s="80" t="str">
        <f>IF(N173="","",VLOOKUP(N173,ROLES!B:C,2,FALSE))</f>
        <v/>
      </c>
      <c r="P173" s="15"/>
      <c r="Q173" s="15"/>
      <c r="R173" s="16">
        <f t="shared" si="6"/>
        <v>0</v>
      </c>
      <c r="S173" s="16"/>
      <c r="T173" s="80" t="str">
        <f>IF(S173="","",VLOOKUP(S173,VALORACION!F:G,2,FALSE))</f>
        <v/>
      </c>
      <c r="U173" s="11"/>
      <c r="V173" s="80" t="str">
        <f>IF(U173="","",VLOOKUP(U173,ROLES!G:H,2,FALSE))</f>
        <v/>
      </c>
      <c r="W173" s="11"/>
      <c r="X173" s="80" t="str">
        <f>IF(W173="","",VLOOKUP(W173,ROLES!I:J,2,FALSE))</f>
        <v/>
      </c>
      <c r="Y173" s="95" t="e">
        <f t="shared" si="5"/>
        <v>#VALUE!</v>
      </c>
      <c r="Z173" s="6"/>
      <c r="AA173" s="6"/>
    </row>
    <row r="174" spans="1:27" ht="28.95" customHeight="1" x14ac:dyDescent="0.3">
      <c r="A174" s="91"/>
      <c r="B174" s="91"/>
      <c r="C174" s="80"/>
      <c r="D174" s="91"/>
      <c r="E174" s="80"/>
      <c r="F174" s="6"/>
      <c r="G174" s="6"/>
      <c r="H174" s="25"/>
      <c r="I174" s="133"/>
      <c r="J174" s="6"/>
      <c r="K174" s="6"/>
      <c r="L174" s="6"/>
      <c r="M174" s="6"/>
      <c r="N174" s="84"/>
      <c r="O174" s="80" t="str">
        <f>IF(N174="","",VLOOKUP(N174,ROLES!B:C,2,FALSE))</f>
        <v/>
      </c>
      <c r="P174" s="15"/>
      <c r="Q174" s="15"/>
      <c r="R174" s="16">
        <f t="shared" si="6"/>
        <v>0</v>
      </c>
      <c r="S174" s="16"/>
      <c r="T174" s="80" t="str">
        <f>IF(S174="","",VLOOKUP(S174,VALORACION!F:G,2,FALSE))</f>
        <v/>
      </c>
      <c r="U174" s="11"/>
      <c r="V174" s="80" t="str">
        <f>IF(U174="","",VLOOKUP(U174,ROLES!G:H,2,FALSE))</f>
        <v/>
      </c>
      <c r="W174" s="11"/>
      <c r="X174" s="80" t="str">
        <f>IF(W174="","",VLOOKUP(W174,ROLES!I:J,2,FALSE))</f>
        <v/>
      </c>
      <c r="Y174" s="95" t="e">
        <f t="shared" si="5"/>
        <v>#VALUE!</v>
      </c>
      <c r="Z174" s="6"/>
      <c r="AA174" s="6"/>
    </row>
    <row r="175" spans="1:27" ht="28.95" customHeight="1" x14ac:dyDescent="0.3">
      <c r="A175" s="91"/>
      <c r="B175" s="91"/>
      <c r="C175" s="80"/>
      <c r="D175" s="91"/>
      <c r="E175" s="80"/>
      <c r="F175" s="6"/>
      <c r="G175" s="6"/>
      <c r="H175" s="25"/>
      <c r="I175" s="133"/>
      <c r="J175" s="6"/>
      <c r="K175" s="6"/>
      <c r="L175" s="6"/>
      <c r="M175" s="6"/>
      <c r="N175" s="84"/>
      <c r="O175" s="80" t="str">
        <f>IF(N175="","",VLOOKUP(N175,ROLES!B:C,2,FALSE))</f>
        <v/>
      </c>
      <c r="P175" s="15"/>
      <c r="Q175" s="15"/>
      <c r="R175" s="16">
        <f t="shared" si="6"/>
        <v>0</v>
      </c>
      <c r="S175" s="16"/>
      <c r="T175" s="80" t="str">
        <f>IF(S175="","",VLOOKUP(S175,VALORACION!F:G,2,FALSE))</f>
        <v/>
      </c>
      <c r="U175" s="11"/>
      <c r="V175" s="80" t="str">
        <f>IF(U175="","",VLOOKUP(U175,ROLES!G:H,2,FALSE))</f>
        <v/>
      </c>
      <c r="W175" s="11"/>
      <c r="X175" s="80" t="str">
        <f>IF(W175="","",VLOOKUP(W175,ROLES!I:J,2,FALSE))</f>
        <v/>
      </c>
      <c r="Y175" s="95" t="e">
        <f t="shared" si="5"/>
        <v>#VALUE!</v>
      </c>
      <c r="Z175" s="6"/>
      <c r="AA175" s="6"/>
    </row>
    <row r="176" spans="1:27" ht="28.95" customHeight="1" x14ac:dyDescent="0.3">
      <c r="A176" s="91"/>
      <c r="B176" s="91"/>
      <c r="C176" s="80"/>
      <c r="D176" s="91"/>
      <c r="E176" s="80"/>
      <c r="F176" s="6"/>
      <c r="G176" s="6"/>
      <c r="H176" s="25"/>
      <c r="I176" s="133"/>
      <c r="J176" s="6"/>
      <c r="K176" s="6"/>
      <c r="L176" s="6"/>
      <c r="M176" s="6"/>
      <c r="N176" s="84"/>
      <c r="O176" s="80" t="str">
        <f>IF(N176="","",VLOOKUP(N176,ROLES!B:C,2,FALSE))</f>
        <v/>
      </c>
      <c r="P176" s="15"/>
      <c r="Q176" s="15"/>
      <c r="R176" s="16">
        <f t="shared" si="6"/>
        <v>0</v>
      </c>
      <c r="S176" s="16"/>
      <c r="T176" s="80" t="str">
        <f>IF(S176="","",VLOOKUP(S176,VALORACION!F:G,2,FALSE))</f>
        <v/>
      </c>
      <c r="U176" s="11"/>
      <c r="V176" s="80" t="str">
        <f>IF(U176="","",VLOOKUP(U176,ROLES!G:H,2,FALSE))</f>
        <v/>
      </c>
      <c r="W176" s="11"/>
      <c r="X176" s="80" t="str">
        <f>IF(W176="","",VLOOKUP(W176,ROLES!I:J,2,FALSE))</f>
        <v/>
      </c>
      <c r="Y176" s="95" t="e">
        <f t="shared" si="5"/>
        <v>#VALUE!</v>
      </c>
      <c r="Z176" s="6"/>
      <c r="AA176" s="6"/>
    </row>
    <row r="177" spans="1:27" ht="28.95" customHeight="1" x14ac:dyDescent="0.3">
      <c r="A177" s="91"/>
      <c r="B177" s="91"/>
      <c r="C177" s="80"/>
      <c r="D177" s="91"/>
      <c r="E177" s="80"/>
      <c r="F177" s="6"/>
      <c r="G177" s="6"/>
      <c r="H177" s="25"/>
      <c r="I177" s="133"/>
      <c r="J177" s="6"/>
      <c r="K177" s="6"/>
      <c r="L177" s="6"/>
      <c r="M177" s="6"/>
      <c r="N177" s="84"/>
      <c r="O177" s="80" t="str">
        <f>IF(N177="","",VLOOKUP(N177,ROLES!B:C,2,FALSE))</f>
        <v/>
      </c>
      <c r="P177" s="15"/>
      <c r="Q177" s="15"/>
      <c r="R177" s="16">
        <f t="shared" si="6"/>
        <v>0</v>
      </c>
      <c r="S177" s="16"/>
      <c r="T177" s="80" t="str">
        <f>IF(S177="","",VLOOKUP(S177,VALORACION!F:G,2,FALSE))</f>
        <v/>
      </c>
      <c r="U177" s="11"/>
      <c r="V177" s="80" t="str">
        <f>IF(U177="","",VLOOKUP(U177,ROLES!G:H,2,FALSE))</f>
        <v/>
      </c>
      <c r="W177" s="11"/>
      <c r="X177" s="80" t="str">
        <f>IF(W177="","",VLOOKUP(W177,ROLES!I:J,2,FALSE))</f>
        <v/>
      </c>
      <c r="Y177" s="95" t="e">
        <f t="shared" si="5"/>
        <v>#VALUE!</v>
      </c>
      <c r="Z177" s="6"/>
      <c r="AA177" s="6"/>
    </row>
    <row r="178" spans="1:27" ht="28.95" customHeight="1" x14ac:dyDescent="0.3">
      <c r="A178" s="91"/>
      <c r="B178" s="91"/>
      <c r="C178" s="80"/>
      <c r="D178" s="91"/>
      <c r="E178" s="80"/>
      <c r="F178" s="6"/>
      <c r="G178" s="6"/>
      <c r="H178" s="25"/>
      <c r="I178" s="133"/>
      <c r="J178" s="6"/>
      <c r="K178" s="6"/>
      <c r="L178" s="6"/>
      <c r="M178" s="6"/>
      <c r="N178" s="84"/>
      <c r="O178" s="80" t="str">
        <f>IF(N178="","",VLOOKUP(N178,ROLES!B:C,2,FALSE))</f>
        <v/>
      </c>
      <c r="P178" s="15"/>
      <c r="Q178" s="15"/>
      <c r="R178" s="16">
        <f t="shared" si="6"/>
        <v>0</v>
      </c>
      <c r="S178" s="16"/>
      <c r="T178" s="80" t="str">
        <f>IF(S178="","",VLOOKUP(S178,VALORACION!F:G,2,FALSE))</f>
        <v/>
      </c>
      <c r="U178" s="11"/>
      <c r="V178" s="80" t="str">
        <f>IF(U178="","",VLOOKUP(U178,ROLES!G:H,2,FALSE))</f>
        <v/>
      </c>
      <c r="W178" s="11"/>
      <c r="X178" s="80" t="str">
        <f>IF(W178="","",VLOOKUP(W178,ROLES!I:J,2,FALSE))</f>
        <v/>
      </c>
      <c r="Y178" s="95" t="e">
        <f t="shared" si="5"/>
        <v>#VALUE!</v>
      </c>
      <c r="Z178" s="6"/>
      <c r="AA178" s="6"/>
    </row>
    <row r="179" spans="1:27" ht="28.95" customHeight="1" x14ac:dyDescent="0.3">
      <c r="A179" s="91"/>
      <c r="B179" s="91"/>
      <c r="C179" s="80"/>
      <c r="D179" s="91"/>
      <c r="E179" s="80"/>
      <c r="F179" s="6"/>
      <c r="G179" s="6"/>
      <c r="H179" s="25"/>
      <c r="I179" s="133"/>
      <c r="J179" s="6"/>
      <c r="K179" s="6"/>
      <c r="L179" s="6"/>
      <c r="M179" s="6"/>
      <c r="N179" s="84"/>
      <c r="O179" s="80" t="str">
        <f>IF(N179="","",VLOOKUP(N179,ROLES!B:C,2,FALSE))</f>
        <v/>
      </c>
      <c r="P179" s="15"/>
      <c r="Q179" s="15"/>
      <c r="R179" s="16">
        <f t="shared" si="6"/>
        <v>0</v>
      </c>
      <c r="S179" s="16"/>
      <c r="T179" s="80" t="str">
        <f>IF(S179="","",VLOOKUP(S179,VALORACION!F:G,2,FALSE))</f>
        <v/>
      </c>
      <c r="U179" s="11"/>
      <c r="V179" s="80" t="str">
        <f>IF(U179="","",VLOOKUP(U179,ROLES!G:H,2,FALSE))</f>
        <v/>
      </c>
      <c r="W179" s="11"/>
      <c r="X179" s="80" t="str">
        <f>IF(W179="","",VLOOKUP(W179,ROLES!I:J,2,FALSE))</f>
        <v/>
      </c>
      <c r="Y179" s="95" t="e">
        <f t="shared" si="5"/>
        <v>#VALUE!</v>
      </c>
      <c r="Z179" s="6"/>
      <c r="AA179" s="6"/>
    </row>
    <row r="180" spans="1:27" ht="28.95" customHeight="1" x14ac:dyDescent="0.3">
      <c r="A180" s="91"/>
      <c r="B180" s="91"/>
      <c r="C180" s="80"/>
      <c r="D180" s="91"/>
      <c r="E180" s="80"/>
      <c r="F180" s="6"/>
      <c r="G180" s="6"/>
      <c r="H180" s="25"/>
      <c r="I180" s="133"/>
      <c r="J180" s="6"/>
      <c r="K180" s="6"/>
      <c r="L180" s="6"/>
      <c r="M180" s="6"/>
      <c r="N180" s="84"/>
      <c r="O180" s="80" t="str">
        <f>IF(N180="","",VLOOKUP(N180,ROLES!B:C,2,FALSE))</f>
        <v/>
      </c>
      <c r="P180" s="15"/>
      <c r="Q180" s="15"/>
      <c r="R180" s="16">
        <f t="shared" si="6"/>
        <v>0</v>
      </c>
      <c r="S180" s="16"/>
      <c r="T180" s="80" t="str">
        <f>IF(S180="","",VLOOKUP(S180,VALORACION!F:G,2,FALSE))</f>
        <v/>
      </c>
      <c r="U180" s="11"/>
      <c r="V180" s="80" t="str">
        <f>IF(U180="","",VLOOKUP(U180,ROLES!G:H,2,FALSE))</f>
        <v/>
      </c>
      <c r="W180" s="11"/>
      <c r="X180" s="80" t="str">
        <f>IF(W180="","",VLOOKUP(W180,ROLES!I:J,2,FALSE))</f>
        <v/>
      </c>
      <c r="Y180" s="95" t="e">
        <f t="shared" si="5"/>
        <v>#VALUE!</v>
      </c>
      <c r="Z180" s="6"/>
      <c r="AA180" s="6"/>
    </row>
    <row r="181" spans="1:27" ht="28.95" customHeight="1" x14ac:dyDescent="0.3">
      <c r="A181" s="91"/>
      <c r="B181" s="91"/>
      <c r="C181" s="80"/>
      <c r="D181" s="91"/>
      <c r="E181" s="80"/>
      <c r="F181" s="6"/>
      <c r="G181" s="6"/>
      <c r="H181" s="25"/>
      <c r="I181" s="133"/>
      <c r="J181" s="6"/>
      <c r="K181" s="6"/>
      <c r="L181" s="6"/>
      <c r="M181" s="6"/>
      <c r="N181" s="84"/>
      <c r="O181" s="80" t="str">
        <f>IF(N181="","",VLOOKUP(N181,ROLES!B:C,2,FALSE))</f>
        <v/>
      </c>
      <c r="P181" s="15"/>
      <c r="Q181" s="15"/>
      <c r="R181" s="16">
        <f t="shared" si="6"/>
        <v>0</v>
      </c>
      <c r="S181" s="16"/>
      <c r="T181" s="80" t="str">
        <f>IF(S181="","",VLOOKUP(S181,VALORACION!F:G,2,FALSE))</f>
        <v/>
      </c>
      <c r="U181" s="11"/>
      <c r="V181" s="80" t="str">
        <f>IF(U181="","",VLOOKUP(U181,ROLES!G:H,2,FALSE))</f>
        <v/>
      </c>
      <c r="W181" s="11"/>
      <c r="X181" s="80" t="str">
        <f>IF(W181="","",VLOOKUP(W181,ROLES!I:J,2,FALSE))</f>
        <v/>
      </c>
      <c r="Y181" s="95" t="e">
        <f t="shared" si="5"/>
        <v>#VALUE!</v>
      </c>
      <c r="Z181" s="6"/>
      <c r="AA181" s="6"/>
    </row>
    <row r="182" spans="1:27" ht="28.95" customHeight="1" x14ac:dyDescent="0.3">
      <c r="A182" s="91"/>
      <c r="B182" s="91"/>
      <c r="C182" s="80"/>
      <c r="D182" s="91"/>
      <c r="E182" s="80"/>
      <c r="F182" s="6"/>
      <c r="G182" s="6"/>
      <c r="H182" s="25"/>
      <c r="I182" s="133"/>
      <c r="J182" s="6"/>
      <c r="K182" s="6"/>
      <c r="L182" s="6"/>
      <c r="M182" s="6"/>
      <c r="N182" s="84"/>
      <c r="O182" s="80" t="str">
        <f>IF(N182="","",VLOOKUP(N182,ROLES!B:C,2,FALSE))</f>
        <v/>
      </c>
      <c r="P182" s="15"/>
      <c r="Q182" s="15"/>
      <c r="R182" s="16">
        <f t="shared" si="6"/>
        <v>0</v>
      </c>
      <c r="S182" s="16"/>
      <c r="T182" s="80" t="str">
        <f>IF(S182="","",VLOOKUP(S182,VALORACION!F:G,2,FALSE))</f>
        <v/>
      </c>
      <c r="U182" s="11"/>
      <c r="V182" s="80" t="str">
        <f>IF(U182="","",VLOOKUP(U182,ROLES!G:H,2,FALSE))</f>
        <v/>
      </c>
      <c r="W182" s="11"/>
      <c r="X182" s="80" t="str">
        <f>IF(W182="","",VLOOKUP(W182,ROLES!I:J,2,FALSE))</f>
        <v/>
      </c>
      <c r="Y182" s="95" t="e">
        <f t="shared" si="5"/>
        <v>#VALUE!</v>
      </c>
      <c r="Z182" s="6"/>
      <c r="AA182" s="6"/>
    </row>
    <row r="183" spans="1:27" ht="28.95" customHeight="1" x14ac:dyDescent="0.3">
      <c r="A183" s="91"/>
      <c r="B183" s="91"/>
      <c r="C183" s="80"/>
      <c r="D183" s="91"/>
      <c r="E183" s="80"/>
      <c r="F183" s="6"/>
      <c r="G183" s="6"/>
      <c r="H183" s="25"/>
      <c r="I183" s="133"/>
      <c r="J183" s="6"/>
      <c r="K183" s="6"/>
      <c r="L183" s="6"/>
      <c r="M183" s="6"/>
      <c r="N183" s="84"/>
      <c r="O183" s="80" t="str">
        <f>IF(N183="","",VLOOKUP(N183,ROLES!B:C,2,FALSE))</f>
        <v/>
      </c>
      <c r="P183" s="15"/>
      <c r="Q183" s="15"/>
      <c r="R183" s="16">
        <f t="shared" si="6"/>
        <v>0</v>
      </c>
      <c r="S183" s="16"/>
      <c r="T183" s="80" t="str">
        <f>IF(S183="","",VLOOKUP(S183,VALORACION!F:G,2,FALSE))</f>
        <v/>
      </c>
      <c r="U183" s="11"/>
      <c r="V183" s="80" t="str">
        <f>IF(U183="","",VLOOKUP(U183,ROLES!G:H,2,FALSE))</f>
        <v/>
      </c>
      <c r="W183" s="11"/>
      <c r="X183" s="80" t="str">
        <f>IF(W183="","",VLOOKUP(W183,ROLES!I:J,2,FALSE))</f>
        <v/>
      </c>
      <c r="Y183" s="95" t="e">
        <f t="shared" si="5"/>
        <v>#VALUE!</v>
      </c>
      <c r="Z183" s="6"/>
      <c r="AA183" s="6"/>
    </row>
    <row r="184" spans="1:27" ht="28.95" customHeight="1" x14ac:dyDescent="0.3">
      <c r="A184" s="91"/>
      <c r="B184" s="91"/>
      <c r="C184" s="80"/>
      <c r="D184" s="91"/>
      <c r="E184" s="80"/>
      <c r="F184" s="6"/>
      <c r="G184" s="6"/>
      <c r="H184" s="25"/>
      <c r="I184" s="133"/>
      <c r="J184" s="6"/>
      <c r="K184" s="6"/>
      <c r="L184" s="6"/>
      <c r="M184" s="6"/>
      <c r="N184" s="84"/>
      <c r="O184" s="80" t="str">
        <f>IF(N184="","",VLOOKUP(N184,ROLES!B:C,2,FALSE))</f>
        <v/>
      </c>
      <c r="P184" s="15"/>
      <c r="Q184" s="15"/>
      <c r="R184" s="16">
        <f t="shared" si="6"/>
        <v>0</v>
      </c>
      <c r="S184" s="16"/>
      <c r="T184" s="80" t="str">
        <f>IF(S184="","",VLOOKUP(S184,VALORACION!F:G,2,FALSE))</f>
        <v/>
      </c>
      <c r="U184" s="11"/>
      <c r="V184" s="80" t="str">
        <f>IF(U184="","",VLOOKUP(U184,ROLES!G:H,2,FALSE))</f>
        <v/>
      </c>
      <c r="W184" s="11"/>
      <c r="X184" s="80" t="str">
        <f>IF(W184="","",VLOOKUP(W184,ROLES!I:J,2,FALSE))</f>
        <v/>
      </c>
      <c r="Y184" s="95" t="e">
        <f t="shared" si="5"/>
        <v>#VALUE!</v>
      </c>
      <c r="Z184" s="6"/>
      <c r="AA184" s="6"/>
    </row>
    <row r="185" spans="1:27" ht="28.95" customHeight="1" x14ac:dyDescent="0.3">
      <c r="A185" s="91"/>
      <c r="B185" s="91"/>
      <c r="C185" s="80"/>
      <c r="D185" s="91"/>
      <c r="E185" s="80"/>
      <c r="F185" s="6"/>
      <c r="G185" s="6"/>
      <c r="H185" s="25"/>
      <c r="I185" s="133"/>
      <c r="J185" s="6"/>
      <c r="K185" s="6"/>
      <c r="L185" s="6"/>
      <c r="M185" s="6"/>
      <c r="N185" s="84"/>
      <c r="O185" s="80" t="str">
        <f>IF(N185="","",VLOOKUP(N185,ROLES!B:C,2,FALSE))</f>
        <v/>
      </c>
      <c r="P185" s="15"/>
      <c r="Q185" s="15"/>
      <c r="R185" s="16">
        <f t="shared" si="6"/>
        <v>0</v>
      </c>
      <c r="S185" s="16"/>
      <c r="T185" s="80" t="str">
        <f>IF(S185="","",VLOOKUP(S185,VALORACION!F:G,2,FALSE))</f>
        <v/>
      </c>
      <c r="U185" s="11"/>
      <c r="V185" s="80" t="str">
        <f>IF(U185="","",VLOOKUP(U185,ROLES!G:H,2,FALSE))</f>
        <v/>
      </c>
      <c r="W185" s="11"/>
      <c r="X185" s="80" t="str">
        <f>IF(W185="","",VLOOKUP(W185,ROLES!I:J,2,FALSE))</f>
        <v/>
      </c>
      <c r="Y185" s="95" t="e">
        <f t="shared" si="5"/>
        <v>#VALUE!</v>
      </c>
      <c r="Z185" s="6"/>
      <c r="AA185" s="6"/>
    </row>
    <row r="186" spans="1:27" ht="28.95" customHeight="1" x14ac:dyDescent="0.3">
      <c r="A186" s="91"/>
      <c r="B186" s="91"/>
      <c r="C186" s="80"/>
      <c r="D186" s="91"/>
      <c r="E186" s="80"/>
      <c r="F186" s="6"/>
      <c r="G186" s="6"/>
      <c r="H186" s="25"/>
      <c r="I186" s="133"/>
      <c r="J186" s="6"/>
      <c r="K186" s="6"/>
      <c r="L186" s="6"/>
      <c r="M186" s="6"/>
      <c r="N186" s="84"/>
      <c r="O186" s="80" t="str">
        <f>IF(N186="","",VLOOKUP(N186,ROLES!B:C,2,FALSE))</f>
        <v/>
      </c>
      <c r="P186" s="15"/>
      <c r="Q186" s="15"/>
      <c r="R186" s="16">
        <f t="shared" si="6"/>
        <v>0</v>
      </c>
      <c r="S186" s="16"/>
      <c r="T186" s="80" t="str">
        <f>IF(S186="","",VLOOKUP(S186,VALORACION!F:G,2,FALSE))</f>
        <v/>
      </c>
      <c r="U186" s="11"/>
      <c r="V186" s="80" t="str">
        <f>IF(U186="","",VLOOKUP(U186,ROLES!G:H,2,FALSE))</f>
        <v/>
      </c>
      <c r="W186" s="11"/>
      <c r="X186" s="80" t="str">
        <f>IF(W186="","",VLOOKUP(W186,ROLES!I:J,2,FALSE))</f>
        <v/>
      </c>
      <c r="Y186" s="95" t="e">
        <f t="shared" si="5"/>
        <v>#VALUE!</v>
      </c>
      <c r="Z186" s="6"/>
      <c r="AA186" s="6"/>
    </row>
    <row r="187" spans="1:27" ht="28.95" customHeight="1" x14ac:dyDescent="0.3">
      <c r="A187" s="91"/>
      <c r="B187" s="91"/>
      <c r="C187" s="80"/>
      <c r="D187" s="91"/>
      <c r="E187" s="80"/>
      <c r="F187" s="6"/>
      <c r="G187" s="6"/>
      <c r="H187" s="25"/>
      <c r="I187" s="133"/>
      <c r="J187" s="6"/>
      <c r="K187" s="6"/>
      <c r="L187" s="6"/>
      <c r="M187" s="6"/>
      <c r="N187" s="84"/>
      <c r="O187" s="80" t="str">
        <f>IF(N187="","",VLOOKUP(N187,ROLES!B:C,2,FALSE))</f>
        <v/>
      </c>
      <c r="P187" s="15"/>
      <c r="Q187" s="15"/>
      <c r="R187" s="16">
        <f t="shared" si="6"/>
        <v>0</v>
      </c>
      <c r="S187" s="16"/>
      <c r="T187" s="80" t="str">
        <f>IF(S187="","",VLOOKUP(S187,VALORACION!F:G,2,FALSE))</f>
        <v/>
      </c>
      <c r="U187" s="11"/>
      <c r="V187" s="80" t="str">
        <f>IF(U187="","",VLOOKUP(U187,ROLES!G:H,2,FALSE))</f>
        <v/>
      </c>
      <c r="W187" s="11"/>
      <c r="X187" s="80" t="str">
        <f>IF(W187="","",VLOOKUP(W187,ROLES!I:J,2,FALSE))</f>
        <v/>
      </c>
      <c r="Y187" s="95" t="e">
        <f t="shared" si="5"/>
        <v>#VALUE!</v>
      </c>
      <c r="Z187" s="6"/>
      <c r="AA187" s="6"/>
    </row>
    <row r="188" spans="1:27" ht="28.95" customHeight="1" x14ac:dyDescent="0.3">
      <c r="A188" s="91"/>
      <c r="B188" s="91"/>
      <c r="C188" s="80"/>
      <c r="D188" s="91"/>
      <c r="E188" s="80"/>
      <c r="F188" s="6"/>
      <c r="G188" s="6"/>
      <c r="H188" s="25"/>
      <c r="I188" s="133"/>
      <c r="J188" s="6"/>
      <c r="K188" s="6"/>
      <c r="L188" s="6"/>
      <c r="M188" s="6"/>
      <c r="N188" s="84"/>
      <c r="O188" s="80" t="str">
        <f>IF(N188="","",VLOOKUP(N188,ROLES!B:C,2,FALSE))</f>
        <v/>
      </c>
      <c r="P188" s="15"/>
      <c r="Q188" s="15"/>
      <c r="R188" s="16">
        <f t="shared" si="6"/>
        <v>0</v>
      </c>
      <c r="S188" s="16"/>
      <c r="T188" s="80" t="str">
        <f>IF(S188="","",VLOOKUP(S188,VALORACION!F:G,2,FALSE))</f>
        <v/>
      </c>
      <c r="U188" s="11"/>
      <c r="V188" s="80" t="str">
        <f>IF(U188="","",VLOOKUP(U188,ROLES!G:H,2,FALSE))</f>
        <v/>
      </c>
      <c r="W188" s="11"/>
      <c r="X188" s="80" t="str">
        <f>IF(W188="","",VLOOKUP(W188,ROLES!I:J,2,FALSE))</f>
        <v/>
      </c>
      <c r="Y188" s="95" t="e">
        <f t="shared" si="5"/>
        <v>#VALUE!</v>
      </c>
      <c r="Z188" s="6"/>
      <c r="AA188" s="6"/>
    </row>
    <row r="189" spans="1:27" ht="28.95" customHeight="1" x14ac:dyDescent="0.3">
      <c r="A189" s="91"/>
      <c r="B189" s="91"/>
      <c r="C189" s="80"/>
      <c r="D189" s="91"/>
      <c r="E189" s="80"/>
      <c r="F189" s="6"/>
      <c r="G189" s="6"/>
      <c r="H189" s="25"/>
      <c r="I189" s="133"/>
      <c r="J189" s="6"/>
      <c r="K189" s="6"/>
      <c r="L189" s="6"/>
      <c r="M189" s="6"/>
      <c r="N189" s="84"/>
      <c r="O189" s="80" t="str">
        <f>IF(N189="","",VLOOKUP(N189,ROLES!B:C,2,FALSE))</f>
        <v/>
      </c>
      <c r="P189" s="15"/>
      <c r="Q189" s="15"/>
      <c r="R189" s="16">
        <f t="shared" si="6"/>
        <v>0</v>
      </c>
      <c r="S189" s="16"/>
      <c r="T189" s="80" t="str">
        <f>IF(S189="","",VLOOKUP(S189,VALORACION!F:G,2,FALSE))</f>
        <v/>
      </c>
      <c r="U189" s="11"/>
      <c r="V189" s="80" t="str">
        <f>IF(U189="","",VLOOKUP(U189,ROLES!G:H,2,FALSE))</f>
        <v/>
      </c>
      <c r="W189" s="11"/>
      <c r="X189" s="80" t="str">
        <f>IF(W189="","",VLOOKUP(W189,ROLES!I:J,2,FALSE))</f>
        <v/>
      </c>
      <c r="Y189" s="95" t="e">
        <f t="shared" si="5"/>
        <v>#VALUE!</v>
      </c>
      <c r="Z189" s="6"/>
      <c r="AA189" s="6"/>
    </row>
    <row r="190" spans="1:27" ht="28.95" customHeight="1" x14ac:dyDescent="0.3">
      <c r="A190" s="91"/>
      <c r="B190" s="91"/>
      <c r="C190" s="80"/>
      <c r="D190" s="91"/>
      <c r="E190" s="80"/>
      <c r="F190" s="6"/>
      <c r="G190" s="6"/>
      <c r="H190" s="25"/>
      <c r="I190" s="133"/>
      <c r="J190" s="6"/>
      <c r="K190" s="6"/>
      <c r="L190" s="6"/>
      <c r="M190" s="6"/>
      <c r="N190" s="84"/>
      <c r="O190" s="80" t="str">
        <f>IF(N190="","",VLOOKUP(N190,ROLES!B:C,2,FALSE))</f>
        <v/>
      </c>
      <c r="P190" s="15"/>
      <c r="Q190" s="15"/>
      <c r="R190" s="16">
        <f t="shared" si="6"/>
        <v>0</v>
      </c>
      <c r="S190" s="16"/>
      <c r="T190" s="80" t="str">
        <f>IF(S190="","",VLOOKUP(S190,VALORACION!F:G,2,FALSE))</f>
        <v/>
      </c>
      <c r="U190" s="11"/>
      <c r="V190" s="80" t="str">
        <f>IF(U190="","",VLOOKUP(U190,ROLES!G:H,2,FALSE))</f>
        <v/>
      </c>
      <c r="W190" s="11"/>
      <c r="X190" s="80" t="str">
        <f>IF(W190="","",VLOOKUP(W190,ROLES!I:J,2,FALSE))</f>
        <v/>
      </c>
      <c r="Y190" s="95" t="e">
        <f t="shared" si="5"/>
        <v>#VALUE!</v>
      </c>
      <c r="Z190" s="6"/>
      <c r="AA190" s="6"/>
    </row>
    <row r="191" spans="1:27" ht="28.95" customHeight="1" x14ac:dyDescent="0.3">
      <c r="A191" s="91"/>
      <c r="B191" s="91"/>
      <c r="C191" s="80"/>
      <c r="D191" s="91"/>
      <c r="E191" s="80"/>
      <c r="F191" s="6"/>
      <c r="G191" s="6"/>
      <c r="H191" s="25"/>
      <c r="I191" s="133"/>
      <c r="J191" s="6"/>
      <c r="K191" s="6"/>
      <c r="L191" s="6"/>
      <c r="M191" s="6"/>
      <c r="N191" s="84"/>
      <c r="O191" s="80" t="str">
        <f>IF(N191="","",VLOOKUP(N191,ROLES!B:C,2,FALSE))</f>
        <v/>
      </c>
      <c r="P191" s="15"/>
      <c r="Q191" s="15"/>
      <c r="R191" s="16">
        <f t="shared" si="6"/>
        <v>0</v>
      </c>
      <c r="S191" s="16"/>
      <c r="T191" s="80" t="str">
        <f>IF(S191="","",VLOOKUP(S191,VALORACION!F:G,2,FALSE))</f>
        <v/>
      </c>
      <c r="U191" s="11"/>
      <c r="V191" s="80" t="str">
        <f>IF(U191="","",VLOOKUP(U191,ROLES!G:H,2,FALSE))</f>
        <v/>
      </c>
      <c r="W191" s="11"/>
      <c r="X191" s="80" t="str">
        <f>IF(W191="","",VLOOKUP(W191,ROLES!I:J,2,FALSE))</f>
        <v/>
      </c>
      <c r="Y191" s="95" t="e">
        <f t="shared" si="5"/>
        <v>#VALUE!</v>
      </c>
      <c r="Z191" s="6"/>
      <c r="AA191" s="6"/>
    </row>
    <row r="192" spans="1:27" ht="28.95" customHeight="1" x14ac:dyDescent="0.3">
      <c r="A192" s="91"/>
      <c r="B192" s="91"/>
      <c r="C192" s="80"/>
      <c r="D192" s="91"/>
      <c r="E192" s="80"/>
      <c r="F192" s="6"/>
      <c r="G192" s="6"/>
      <c r="H192" s="25"/>
      <c r="I192" s="133"/>
      <c r="J192" s="6"/>
      <c r="K192" s="6"/>
      <c r="L192" s="6"/>
      <c r="M192" s="6"/>
      <c r="N192" s="84"/>
      <c r="O192" s="80" t="str">
        <f>IF(N192="","",VLOOKUP(N192,ROLES!B:C,2,FALSE))</f>
        <v/>
      </c>
      <c r="P192" s="15"/>
      <c r="Q192" s="15"/>
      <c r="R192" s="16">
        <f t="shared" si="6"/>
        <v>0</v>
      </c>
      <c r="S192" s="16"/>
      <c r="T192" s="80" t="str">
        <f>IF(S192="","",VLOOKUP(S192,VALORACION!F:G,2,FALSE))</f>
        <v/>
      </c>
      <c r="U192" s="11"/>
      <c r="V192" s="80" t="str">
        <f>IF(U192="","",VLOOKUP(U192,ROLES!G:H,2,FALSE))</f>
        <v/>
      </c>
      <c r="W192" s="11"/>
      <c r="X192" s="80" t="str">
        <f>IF(W192="","",VLOOKUP(W192,ROLES!I:J,2,FALSE))</f>
        <v/>
      </c>
      <c r="Y192" s="95" t="e">
        <f t="shared" si="5"/>
        <v>#VALUE!</v>
      </c>
      <c r="Z192" s="6"/>
      <c r="AA192" s="6"/>
    </row>
    <row r="193" spans="1:27" ht="28.95" customHeight="1" x14ac:dyDescent="0.3">
      <c r="A193" s="91"/>
      <c r="B193" s="91"/>
      <c r="C193" s="80"/>
      <c r="D193" s="91"/>
      <c r="E193" s="80"/>
      <c r="F193" s="6"/>
      <c r="G193" s="6"/>
      <c r="H193" s="25"/>
      <c r="I193" s="133"/>
      <c r="J193" s="6"/>
      <c r="K193" s="6"/>
      <c r="L193" s="6"/>
      <c r="M193" s="6"/>
      <c r="N193" s="84"/>
      <c r="O193" s="80" t="str">
        <f>IF(N193="","",VLOOKUP(N193,ROLES!B:C,2,FALSE))</f>
        <v/>
      </c>
      <c r="P193" s="15"/>
      <c r="Q193" s="15"/>
      <c r="R193" s="16">
        <f t="shared" si="6"/>
        <v>0</v>
      </c>
      <c r="S193" s="16"/>
      <c r="T193" s="80" t="str">
        <f>IF(S193="","",VLOOKUP(S193,VALORACION!F:G,2,FALSE))</f>
        <v/>
      </c>
      <c r="U193" s="11"/>
      <c r="V193" s="80" t="str">
        <f>IF(U193="","",VLOOKUP(U193,ROLES!G:H,2,FALSE))</f>
        <v/>
      </c>
      <c r="W193" s="11"/>
      <c r="X193" s="80" t="str">
        <f>IF(W193="","",VLOOKUP(W193,ROLES!I:J,2,FALSE))</f>
        <v/>
      </c>
      <c r="Y193" s="95" t="e">
        <f t="shared" si="5"/>
        <v>#VALUE!</v>
      </c>
      <c r="Z193" s="6"/>
      <c r="AA193" s="6"/>
    </row>
    <row r="194" spans="1:27" ht="28.95" customHeight="1" x14ac:dyDescent="0.3">
      <c r="A194" s="91"/>
      <c r="B194" s="91"/>
      <c r="C194" s="80"/>
      <c r="D194" s="91"/>
      <c r="E194" s="80"/>
      <c r="F194" s="6"/>
      <c r="G194" s="6"/>
      <c r="H194" s="25"/>
      <c r="I194" s="133"/>
      <c r="J194" s="6"/>
      <c r="K194" s="6"/>
      <c r="L194" s="6"/>
      <c r="M194" s="6"/>
      <c r="N194" s="84"/>
      <c r="O194" s="80" t="str">
        <f>IF(N194="","",VLOOKUP(N194,ROLES!B:C,2,FALSE))</f>
        <v/>
      </c>
      <c r="P194" s="15"/>
      <c r="Q194" s="15"/>
      <c r="R194" s="16">
        <f t="shared" si="6"/>
        <v>0</v>
      </c>
      <c r="S194" s="16"/>
      <c r="T194" s="80" t="str">
        <f>IF(S194="","",VLOOKUP(S194,VALORACION!F:G,2,FALSE))</f>
        <v/>
      </c>
      <c r="U194" s="11"/>
      <c r="V194" s="80" t="str">
        <f>IF(U194="","",VLOOKUP(U194,ROLES!G:H,2,FALSE))</f>
        <v/>
      </c>
      <c r="W194" s="11"/>
      <c r="X194" s="80" t="str">
        <f>IF(W194="","",VLOOKUP(W194,ROLES!I:J,2,FALSE))</f>
        <v/>
      </c>
      <c r="Y194" s="95" t="e">
        <f t="shared" si="5"/>
        <v>#VALUE!</v>
      </c>
      <c r="Z194" s="6"/>
      <c r="AA194" s="6"/>
    </row>
    <row r="195" spans="1:27" ht="28.95" customHeight="1" x14ac:dyDescent="0.3">
      <c r="A195" s="91"/>
      <c r="B195" s="91"/>
      <c r="C195" s="80"/>
      <c r="D195" s="91"/>
      <c r="E195" s="80"/>
      <c r="F195" s="6"/>
      <c r="G195" s="6"/>
      <c r="H195" s="25"/>
      <c r="I195" s="133"/>
      <c r="J195" s="6"/>
      <c r="K195" s="6"/>
      <c r="L195" s="6"/>
      <c r="M195" s="6"/>
      <c r="N195" s="84"/>
      <c r="O195" s="80" t="str">
        <f>IF(N195="","",VLOOKUP(N195,ROLES!B:C,2,FALSE))</f>
        <v/>
      </c>
      <c r="P195" s="15"/>
      <c r="Q195" s="15"/>
      <c r="R195" s="16">
        <f t="shared" si="6"/>
        <v>0</v>
      </c>
      <c r="S195" s="16"/>
      <c r="T195" s="80" t="str">
        <f>IF(S195="","",VLOOKUP(S195,VALORACION!F:G,2,FALSE))</f>
        <v/>
      </c>
      <c r="U195" s="11"/>
      <c r="V195" s="80" t="str">
        <f>IF(U195="","",VLOOKUP(U195,ROLES!G:H,2,FALSE))</f>
        <v/>
      </c>
      <c r="W195" s="11"/>
      <c r="X195" s="80" t="str">
        <f>IF(W195="","",VLOOKUP(W195,ROLES!I:J,2,FALSE))</f>
        <v/>
      </c>
      <c r="Y195" s="95" t="e">
        <f t="shared" si="5"/>
        <v>#VALUE!</v>
      </c>
      <c r="Z195" s="6"/>
      <c r="AA195" s="6"/>
    </row>
    <row r="196" spans="1:27" ht="28.95" customHeight="1" x14ac:dyDescent="0.3">
      <c r="A196" s="91"/>
      <c r="B196" s="91"/>
      <c r="C196" s="80"/>
      <c r="D196" s="91"/>
      <c r="E196" s="80"/>
      <c r="F196" s="6"/>
      <c r="G196" s="6"/>
      <c r="H196" s="25"/>
      <c r="I196" s="133"/>
      <c r="J196" s="6"/>
      <c r="K196" s="6"/>
      <c r="L196" s="6"/>
      <c r="M196" s="6"/>
      <c r="N196" s="84"/>
      <c r="O196" s="80" t="str">
        <f>IF(N196="","",VLOOKUP(N196,ROLES!B:C,2,FALSE))</f>
        <v/>
      </c>
      <c r="P196" s="15"/>
      <c r="Q196" s="15"/>
      <c r="R196" s="16">
        <f t="shared" si="6"/>
        <v>0</v>
      </c>
      <c r="S196" s="16"/>
      <c r="T196" s="80" t="str">
        <f>IF(S196="","",VLOOKUP(S196,VALORACION!F:G,2,FALSE))</f>
        <v/>
      </c>
      <c r="U196" s="11"/>
      <c r="V196" s="80" t="str">
        <f>IF(U196="","",VLOOKUP(U196,ROLES!G:H,2,FALSE))</f>
        <v/>
      </c>
      <c r="W196" s="11"/>
      <c r="X196" s="80" t="str">
        <f>IF(W196="","",VLOOKUP(W196,ROLES!I:J,2,FALSE))</f>
        <v/>
      </c>
      <c r="Y196" s="95" t="e">
        <f t="shared" si="5"/>
        <v>#VALUE!</v>
      </c>
      <c r="Z196" s="6"/>
      <c r="AA196" s="6"/>
    </row>
    <row r="197" spans="1:27" ht="28.95" customHeight="1" x14ac:dyDescent="0.3">
      <c r="A197" s="91"/>
      <c r="B197" s="91"/>
      <c r="C197" s="80"/>
      <c r="D197" s="91"/>
      <c r="E197" s="80"/>
      <c r="F197" s="6"/>
      <c r="G197" s="6"/>
      <c r="H197" s="25"/>
      <c r="I197" s="133"/>
      <c r="J197" s="6"/>
      <c r="K197" s="6"/>
      <c r="L197" s="6"/>
      <c r="M197" s="6"/>
      <c r="N197" s="84"/>
      <c r="O197" s="80" t="str">
        <f>IF(N197="","",VLOOKUP(N197,ROLES!B:C,2,FALSE))</f>
        <v/>
      </c>
      <c r="P197" s="15"/>
      <c r="Q197" s="15"/>
      <c r="R197" s="16">
        <f t="shared" si="6"/>
        <v>0</v>
      </c>
      <c r="S197" s="16"/>
      <c r="T197" s="80" t="str">
        <f>IF(S197="","",VLOOKUP(S197,VALORACION!F:G,2,FALSE))</f>
        <v/>
      </c>
      <c r="U197" s="11"/>
      <c r="V197" s="80" t="str">
        <f>IF(U197="","",VLOOKUP(U197,ROLES!G:H,2,FALSE))</f>
        <v/>
      </c>
      <c r="W197" s="11"/>
      <c r="X197" s="80" t="str">
        <f>IF(W197="","",VLOOKUP(W197,ROLES!I:J,2,FALSE))</f>
        <v/>
      </c>
      <c r="Y197" s="95" t="e">
        <f t="shared" ref="Y197:Y260" si="7">(VALUE(O197)+VALUE(V197)+VALUE(X197)+VALUE(T197))/3</f>
        <v>#VALUE!</v>
      </c>
      <c r="Z197" s="6"/>
      <c r="AA197" s="6"/>
    </row>
    <row r="198" spans="1:27" ht="28.95" customHeight="1" x14ac:dyDescent="0.3">
      <c r="A198" s="91"/>
      <c r="B198" s="91"/>
      <c r="C198" s="80"/>
      <c r="D198" s="91"/>
      <c r="E198" s="80"/>
      <c r="F198" s="6"/>
      <c r="G198" s="6"/>
      <c r="H198" s="25"/>
      <c r="I198" s="133"/>
      <c r="J198" s="6"/>
      <c r="K198" s="6"/>
      <c r="L198" s="6"/>
      <c r="M198" s="6"/>
      <c r="N198" s="84"/>
      <c r="O198" s="80" t="str">
        <f>IF(N198="","",VLOOKUP(N198,ROLES!B:C,2,FALSE))</f>
        <v/>
      </c>
      <c r="P198" s="15"/>
      <c r="Q198" s="15"/>
      <c r="R198" s="16">
        <f t="shared" si="6"/>
        <v>0</v>
      </c>
      <c r="S198" s="16"/>
      <c r="T198" s="80" t="str">
        <f>IF(S198="","",VLOOKUP(S198,VALORACION!F:G,2,FALSE))</f>
        <v/>
      </c>
      <c r="U198" s="11"/>
      <c r="V198" s="80" t="str">
        <f>IF(U198="","",VLOOKUP(U198,ROLES!G:H,2,FALSE))</f>
        <v/>
      </c>
      <c r="W198" s="11"/>
      <c r="X198" s="80" t="str">
        <f>IF(W198="","",VLOOKUP(W198,ROLES!I:J,2,FALSE))</f>
        <v/>
      </c>
      <c r="Y198" s="95" t="e">
        <f t="shared" si="7"/>
        <v>#VALUE!</v>
      </c>
      <c r="Z198" s="6"/>
      <c r="AA198" s="6"/>
    </row>
    <row r="199" spans="1:27" ht="28.95" customHeight="1" x14ac:dyDescent="0.3">
      <c r="A199" s="91"/>
      <c r="B199" s="91"/>
      <c r="C199" s="80"/>
      <c r="D199" s="91"/>
      <c r="E199" s="80"/>
      <c r="F199" s="6"/>
      <c r="G199" s="6"/>
      <c r="H199" s="25"/>
      <c r="I199" s="133"/>
      <c r="J199" s="6"/>
      <c r="K199" s="6"/>
      <c r="L199" s="6"/>
      <c r="M199" s="6"/>
      <c r="N199" s="84"/>
      <c r="O199" s="80" t="str">
        <f>IF(N199="","",VLOOKUP(N199,ROLES!B:C,2,FALSE))</f>
        <v/>
      </c>
      <c r="P199" s="15"/>
      <c r="Q199" s="15"/>
      <c r="R199" s="16">
        <f t="shared" ref="R199:R262" si="8">DATEDIF(P199,Q199,"m")</f>
        <v>0</v>
      </c>
      <c r="S199" s="16"/>
      <c r="T199" s="80" t="str">
        <f>IF(S199="","",VLOOKUP(S199,VALORACION!F:G,2,FALSE))</f>
        <v/>
      </c>
      <c r="U199" s="11"/>
      <c r="V199" s="80" t="str">
        <f>IF(U199="","",VLOOKUP(U199,ROLES!G:H,2,FALSE))</f>
        <v/>
      </c>
      <c r="W199" s="11"/>
      <c r="X199" s="80" t="str">
        <f>IF(W199="","",VLOOKUP(W199,ROLES!I:J,2,FALSE))</f>
        <v/>
      </c>
      <c r="Y199" s="95" t="e">
        <f t="shared" si="7"/>
        <v>#VALUE!</v>
      </c>
      <c r="Z199" s="6"/>
      <c r="AA199" s="6"/>
    </row>
    <row r="200" spans="1:27" ht="28.95" customHeight="1" x14ac:dyDescent="0.3">
      <c r="A200" s="91"/>
      <c r="B200" s="91"/>
      <c r="C200" s="80"/>
      <c r="D200" s="91"/>
      <c r="E200" s="80"/>
      <c r="F200" s="6"/>
      <c r="G200" s="6"/>
      <c r="H200" s="25"/>
      <c r="I200" s="133"/>
      <c r="J200" s="6"/>
      <c r="K200" s="6"/>
      <c r="L200" s="6"/>
      <c r="M200" s="6"/>
      <c r="N200" s="84"/>
      <c r="O200" s="80" t="str">
        <f>IF(N200="","",VLOOKUP(N200,ROLES!B:C,2,FALSE))</f>
        <v/>
      </c>
      <c r="P200" s="15"/>
      <c r="Q200" s="15"/>
      <c r="R200" s="16">
        <f t="shared" si="8"/>
        <v>0</v>
      </c>
      <c r="S200" s="16"/>
      <c r="T200" s="80" t="str">
        <f>IF(S200="","",VLOOKUP(S200,VALORACION!F:G,2,FALSE))</f>
        <v/>
      </c>
      <c r="U200" s="11"/>
      <c r="V200" s="80" t="str">
        <f>IF(U200="","",VLOOKUP(U200,ROLES!G:H,2,FALSE))</f>
        <v/>
      </c>
      <c r="W200" s="11"/>
      <c r="X200" s="80" t="str">
        <f>IF(W200="","",VLOOKUP(W200,ROLES!I:J,2,FALSE))</f>
        <v/>
      </c>
      <c r="Y200" s="95" t="e">
        <f t="shared" si="7"/>
        <v>#VALUE!</v>
      </c>
      <c r="Z200" s="6"/>
      <c r="AA200" s="6"/>
    </row>
    <row r="201" spans="1:27" ht="28.95" customHeight="1" x14ac:dyDescent="0.3">
      <c r="A201" s="91"/>
      <c r="B201" s="91"/>
      <c r="C201" s="80"/>
      <c r="D201" s="91"/>
      <c r="E201" s="80"/>
      <c r="F201" s="6"/>
      <c r="G201" s="6"/>
      <c r="H201" s="25"/>
      <c r="I201" s="133"/>
      <c r="J201" s="6"/>
      <c r="K201" s="6"/>
      <c r="L201" s="6"/>
      <c r="M201" s="6"/>
      <c r="N201" s="84"/>
      <c r="O201" s="80" t="str">
        <f>IF(N201="","",VLOOKUP(N201,ROLES!B:C,2,FALSE))</f>
        <v/>
      </c>
      <c r="P201" s="15"/>
      <c r="Q201" s="15"/>
      <c r="R201" s="16">
        <f t="shared" si="8"/>
        <v>0</v>
      </c>
      <c r="S201" s="16"/>
      <c r="T201" s="80" t="str">
        <f>IF(S201="","",VLOOKUP(S201,VALORACION!F:G,2,FALSE))</f>
        <v/>
      </c>
      <c r="U201" s="11"/>
      <c r="V201" s="80" t="str">
        <f>IF(U201="","",VLOOKUP(U201,ROLES!G:H,2,FALSE))</f>
        <v/>
      </c>
      <c r="W201" s="11"/>
      <c r="X201" s="80" t="str">
        <f>IF(W201="","",VLOOKUP(W201,ROLES!I:J,2,FALSE))</f>
        <v/>
      </c>
      <c r="Y201" s="95" t="e">
        <f t="shared" si="7"/>
        <v>#VALUE!</v>
      </c>
      <c r="Z201" s="6"/>
      <c r="AA201" s="6"/>
    </row>
    <row r="202" spans="1:27" ht="28.95" customHeight="1" x14ac:dyDescent="0.3">
      <c r="A202" s="91"/>
      <c r="B202" s="91"/>
      <c r="C202" s="80"/>
      <c r="D202" s="91"/>
      <c r="E202" s="80"/>
      <c r="F202" s="6"/>
      <c r="G202" s="6"/>
      <c r="H202" s="25"/>
      <c r="I202" s="133"/>
      <c r="J202" s="6"/>
      <c r="K202" s="6"/>
      <c r="L202" s="6"/>
      <c r="M202" s="6"/>
      <c r="N202" s="84"/>
      <c r="O202" s="80" t="str">
        <f>IF(N202="","",VLOOKUP(N202,ROLES!B:C,2,FALSE))</f>
        <v/>
      </c>
      <c r="P202" s="15"/>
      <c r="Q202" s="15"/>
      <c r="R202" s="16">
        <f t="shared" si="8"/>
        <v>0</v>
      </c>
      <c r="S202" s="16"/>
      <c r="T202" s="80" t="str">
        <f>IF(S202="","",VLOOKUP(S202,VALORACION!F:G,2,FALSE))</f>
        <v/>
      </c>
      <c r="U202" s="11"/>
      <c r="V202" s="80" t="str">
        <f>IF(U202="","",VLOOKUP(U202,ROLES!G:H,2,FALSE))</f>
        <v/>
      </c>
      <c r="W202" s="11"/>
      <c r="X202" s="80" t="str">
        <f>IF(W202="","",VLOOKUP(W202,ROLES!I:J,2,FALSE))</f>
        <v/>
      </c>
      <c r="Y202" s="95" t="e">
        <f t="shared" si="7"/>
        <v>#VALUE!</v>
      </c>
      <c r="Z202" s="6"/>
      <c r="AA202" s="6"/>
    </row>
    <row r="203" spans="1:27" ht="28.95" customHeight="1" x14ac:dyDescent="0.3">
      <c r="A203" s="91"/>
      <c r="B203" s="91"/>
      <c r="C203" s="80"/>
      <c r="D203" s="91"/>
      <c r="E203" s="80"/>
      <c r="F203" s="6"/>
      <c r="G203" s="6"/>
      <c r="H203" s="25"/>
      <c r="I203" s="133"/>
      <c r="J203" s="6"/>
      <c r="K203" s="6"/>
      <c r="L203" s="6"/>
      <c r="M203" s="6"/>
      <c r="N203" s="84"/>
      <c r="O203" s="80" t="str">
        <f>IF(N203="","",VLOOKUP(N203,ROLES!B:C,2,FALSE))</f>
        <v/>
      </c>
      <c r="P203" s="15"/>
      <c r="Q203" s="15"/>
      <c r="R203" s="16">
        <f t="shared" si="8"/>
        <v>0</v>
      </c>
      <c r="S203" s="16"/>
      <c r="T203" s="80" t="str">
        <f>IF(S203="","",VLOOKUP(S203,VALORACION!F:G,2,FALSE))</f>
        <v/>
      </c>
      <c r="U203" s="11"/>
      <c r="V203" s="80" t="str">
        <f>IF(U203="","",VLOOKUP(U203,ROLES!G:H,2,FALSE))</f>
        <v/>
      </c>
      <c r="W203" s="11"/>
      <c r="X203" s="80" t="str">
        <f>IF(W203="","",VLOOKUP(W203,ROLES!I:J,2,FALSE))</f>
        <v/>
      </c>
      <c r="Y203" s="95" t="e">
        <f t="shared" si="7"/>
        <v>#VALUE!</v>
      </c>
      <c r="Z203" s="6"/>
      <c r="AA203" s="6"/>
    </row>
    <row r="204" spans="1:27" ht="28.95" customHeight="1" x14ac:dyDescent="0.3">
      <c r="A204" s="91"/>
      <c r="B204" s="91"/>
      <c r="C204" s="80"/>
      <c r="D204" s="91"/>
      <c r="E204" s="80"/>
      <c r="F204" s="6"/>
      <c r="G204" s="6"/>
      <c r="H204" s="25"/>
      <c r="I204" s="133"/>
      <c r="J204" s="6"/>
      <c r="K204" s="6"/>
      <c r="L204" s="6"/>
      <c r="M204" s="6"/>
      <c r="N204" s="84"/>
      <c r="O204" s="80" t="str">
        <f>IF(N204="","",VLOOKUP(N204,ROLES!B:C,2,FALSE))</f>
        <v/>
      </c>
      <c r="P204" s="15"/>
      <c r="Q204" s="15"/>
      <c r="R204" s="16">
        <f t="shared" si="8"/>
        <v>0</v>
      </c>
      <c r="S204" s="16"/>
      <c r="T204" s="80" t="str">
        <f>IF(S204="","",VLOOKUP(S204,VALORACION!F:G,2,FALSE))</f>
        <v/>
      </c>
      <c r="U204" s="11"/>
      <c r="V204" s="80" t="str">
        <f>IF(U204="","",VLOOKUP(U204,ROLES!G:H,2,FALSE))</f>
        <v/>
      </c>
      <c r="W204" s="11"/>
      <c r="X204" s="80" t="str">
        <f>IF(W204="","",VLOOKUP(W204,ROLES!I:J,2,FALSE))</f>
        <v/>
      </c>
      <c r="Y204" s="95" t="e">
        <f t="shared" si="7"/>
        <v>#VALUE!</v>
      </c>
      <c r="Z204" s="6"/>
      <c r="AA204" s="6"/>
    </row>
    <row r="205" spans="1:27" ht="28.95" customHeight="1" x14ac:dyDescent="0.3">
      <c r="A205" s="91"/>
      <c r="B205" s="91"/>
      <c r="C205" s="80"/>
      <c r="D205" s="91"/>
      <c r="E205" s="80"/>
      <c r="F205" s="6"/>
      <c r="G205" s="6"/>
      <c r="H205" s="25"/>
      <c r="I205" s="133"/>
      <c r="J205" s="6"/>
      <c r="K205" s="6"/>
      <c r="L205" s="6"/>
      <c r="M205" s="6"/>
      <c r="N205" s="84"/>
      <c r="O205" s="80" t="str">
        <f>IF(N205="","",VLOOKUP(N205,ROLES!B:C,2,FALSE))</f>
        <v/>
      </c>
      <c r="P205" s="15"/>
      <c r="Q205" s="15"/>
      <c r="R205" s="16">
        <f t="shared" si="8"/>
        <v>0</v>
      </c>
      <c r="S205" s="16"/>
      <c r="T205" s="80" t="str">
        <f>IF(S205="","",VLOOKUP(S205,VALORACION!F:G,2,FALSE))</f>
        <v/>
      </c>
      <c r="U205" s="11"/>
      <c r="V205" s="80" t="str">
        <f>IF(U205="","",VLOOKUP(U205,ROLES!G:H,2,FALSE))</f>
        <v/>
      </c>
      <c r="W205" s="11"/>
      <c r="X205" s="80" t="str">
        <f>IF(W205="","",VLOOKUP(W205,ROLES!I:J,2,FALSE))</f>
        <v/>
      </c>
      <c r="Y205" s="95" t="e">
        <f t="shared" si="7"/>
        <v>#VALUE!</v>
      </c>
      <c r="Z205" s="6"/>
      <c r="AA205" s="6"/>
    </row>
    <row r="206" spans="1:27" ht="28.95" customHeight="1" x14ac:dyDescent="0.3">
      <c r="A206" s="91"/>
      <c r="B206" s="91"/>
      <c r="C206" s="80"/>
      <c r="D206" s="91"/>
      <c r="E206" s="80"/>
      <c r="F206" s="6"/>
      <c r="G206" s="6"/>
      <c r="H206" s="25"/>
      <c r="I206" s="133"/>
      <c r="J206" s="6"/>
      <c r="K206" s="6"/>
      <c r="L206" s="6"/>
      <c r="M206" s="6"/>
      <c r="N206" s="84"/>
      <c r="O206" s="80" t="str">
        <f>IF(N206="","",VLOOKUP(N206,ROLES!B:C,2,FALSE))</f>
        <v/>
      </c>
      <c r="P206" s="15"/>
      <c r="Q206" s="15"/>
      <c r="R206" s="16">
        <f t="shared" si="8"/>
        <v>0</v>
      </c>
      <c r="S206" s="16"/>
      <c r="T206" s="80" t="str">
        <f>IF(S206="","",VLOOKUP(S206,VALORACION!F:G,2,FALSE))</f>
        <v/>
      </c>
      <c r="U206" s="11"/>
      <c r="V206" s="80" t="str">
        <f>IF(U206="","",VLOOKUP(U206,ROLES!G:H,2,FALSE))</f>
        <v/>
      </c>
      <c r="W206" s="11"/>
      <c r="X206" s="80" t="str">
        <f>IF(W206="","",VLOOKUP(W206,ROLES!I:J,2,FALSE))</f>
        <v/>
      </c>
      <c r="Y206" s="95" t="e">
        <f t="shared" si="7"/>
        <v>#VALUE!</v>
      </c>
      <c r="Z206" s="6"/>
      <c r="AA206" s="6"/>
    </row>
    <row r="207" spans="1:27" ht="28.95" customHeight="1" x14ac:dyDescent="0.3">
      <c r="A207" s="91"/>
      <c r="B207" s="91"/>
      <c r="C207" s="80"/>
      <c r="D207" s="91"/>
      <c r="E207" s="80"/>
      <c r="F207" s="6"/>
      <c r="G207" s="6"/>
      <c r="H207" s="25"/>
      <c r="I207" s="133"/>
      <c r="J207" s="6"/>
      <c r="K207" s="6"/>
      <c r="L207" s="6"/>
      <c r="M207" s="6"/>
      <c r="N207" s="84"/>
      <c r="O207" s="80" t="str">
        <f>IF(N207="","",VLOOKUP(N207,ROLES!B:C,2,FALSE))</f>
        <v/>
      </c>
      <c r="P207" s="15"/>
      <c r="Q207" s="15"/>
      <c r="R207" s="16">
        <f t="shared" si="8"/>
        <v>0</v>
      </c>
      <c r="S207" s="16"/>
      <c r="T207" s="80" t="str">
        <f>IF(S207="","",VLOOKUP(S207,VALORACION!F:G,2,FALSE))</f>
        <v/>
      </c>
      <c r="U207" s="11"/>
      <c r="V207" s="80" t="str">
        <f>IF(U207="","",VLOOKUP(U207,ROLES!G:H,2,FALSE))</f>
        <v/>
      </c>
      <c r="W207" s="11"/>
      <c r="X207" s="80" t="str">
        <f>IF(W207="","",VLOOKUP(W207,ROLES!I:J,2,FALSE))</f>
        <v/>
      </c>
      <c r="Y207" s="95" t="e">
        <f t="shared" si="7"/>
        <v>#VALUE!</v>
      </c>
      <c r="Z207" s="6"/>
      <c r="AA207" s="6"/>
    </row>
    <row r="208" spans="1:27" ht="28.95" customHeight="1" x14ac:dyDescent="0.3">
      <c r="A208" s="91"/>
      <c r="B208" s="91"/>
      <c r="C208" s="80"/>
      <c r="D208" s="91"/>
      <c r="E208" s="80"/>
      <c r="F208" s="6"/>
      <c r="G208" s="6"/>
      <c r="H208" s="25"/>
      <c r="I208" s="133"/>
      <c r="J208" s="6"/>
      <c r="K208" s="6"/>
      <c r="L208" s="6"/>
      <c r="M208" s="6"/>
      <c r="N208" s="84"/>
      <c r="O208" s="80" t="str">
        <f>IF(N208="","",VLOOKUP(N208,ROLES!B:C,2,FALSE))</f>
        <v/>
      </c>
      <c r="P208" s="15"/>
      <c r="Q208" s="15"/>
      <c r="R208" s="16">
        <f t="shared" si="8"/>
        <v>0</v>
      </c>
      <c r="S208" s="16"/>
      <c r="T208" s="80" t="str">
        <f>IF(S208="","",VLOOKUP(S208,VALORACION!F:G,2,FALSE))</f>
        <v/>
      </c>
      <c r="U208" s="11"/>
      <c r="V208" s="80" t="str">
        <f>IF(U208="","",VLOOKUP(U208,ROLES!G:H,2,FALSE))</f>
        <v/>
      </c>
      <c r="W208" s="11"/>
      <c r="X208" s="80" t="str">
        <f>IF(W208="","",VLOOKUP(W208,ROLES!I:J,2,FALSE))</f>
        <v/>
      </c>
      <c r="Y208" s="95" t="e">
        <f t="shared" si="7"/>
        <v>#VALUE!</v>
      </c>
      <c r="Z208" s="6"/>
      <c r="AA208" s="6"/>
    </row>
    <row r="209" spans="1:27" ht="28.95" customHeight="1" x14ac:dyDescent="0.3">
      <c r="A209" s="91"/>
      <c r="B209" s="91"/>
      <c r="C209" s="80"/>
      <c r="D209" s="91"/>
      <c r="E209" s="80"/>
      <c r="F209" s="6"/>
      <c r="G209" s="6"/>
      <c r="H209" s="25"/>
      <c r="I209" s="133"/>
      <c r="J209" s="6"/>
      <c r="K209" s="6"/>
      <c r="L209" s="6"/>
      <c r="M209" s="6"/>
      <c r="N209" s="84"/>
      <c r="O209" s="80" t="str">
        <f>IF(N209="","",VLOOKUP(N209,ROLES!B:C,2,FALSE))</f>
        <v/>
      </c>
      <c r="P209" s="15"/>
      <c r="Q209" s="15"/>
      <c r="R209" s="16">
        <f t="shared" si="8"/>
        <v>0</v>
      </c>
      <c r="S209" s="16"/>
      <c r="T209" s="80" t="str">
        <f>IF(S209="","",VLOOKUP(S209,VALORACION!F:G,2,FALSE))</f>
        <v/>
      </c>
      <c r="U209" s="11"/>
      <c r="V209" s="80" t="str">
        <f>IF(U209="","",VLOOKUP(U209,ROLES!G:H,2,FALSE))</f>
        <v/>
      </c>
      <c r="W209" s="11"/>
      <c r="X209" s="80" t="str">
        <f>IF(W209="","",VLOOKUP(W209,ROLES!I:J,2,FALSE))</f>
        <v/>
      </c>
      <c r="Y209" s="95" t="e">
        <f t="shared" si="7"/>
        <v>#VALUE!</v>
      </c>
      <c r="Z209" s="6"/>
      <c r="AA209" s="6"/>
    </row>
    <row r="210" spans="1:27" ht="28.95" customHeight="1" x14ac:dyDescent="0.3">
      <c r="A210" s="91"/>
      <c r="B210" s="91"/>
      <c r="C210" s="80"/>
      <c r="D210" s="91"/>
      <c r="E210" s="80"/>
      <c r="F210" s="6"/>
      <c r="G210" s="6"/>
      <c r="H210" s="25"/>
      <c r="I210" s="133"/>
      <c r="J210" s="6"/>
      <c r="K210" s="6"/>
      <c r="L210" s="6"/>
      <c r="M210" s="6"/>
      <c r="N210" s="84"/>
      <c r="O210" s="80" t="str">
        <f>IF(N210="","",VLOOKUP(N210,ROLES!B:C,2,FALSE))</f>
        <v/>
      </c>
      <c r="P210" s="15"/>
      <c r="Q210" s="15"/>
      <c r="R210" s="16">
        <f t="shared" si="8"/>
        <v>0</v>
      </c>
      <c r="S210" s="16"/>
      <c r="T210" s="80" t="str">
        <f>IF(S210="","",VLOOKUP(S210,VALORACION!F:G,2,FALSE))</f>
        <v/>
      </c>
      <c r="U210" s="11"/>
      <c r="V210" s="80" t="str">
        <f>IF(U210="","",VLOOKUP(U210,ROLES!G:H,2,FALSE))</f>
        <v/>
      </c>
      <c r="W210" s="11"/>
      <c r="X210" s="80" t="str">
        <f>IF(W210="","",VLOOKUP(W210,ROLES!I:J,2,FALSE))</f>
        <v/>
      </c>
      <c r="Y210" s="95" t="e">
        <f t="shared" si="7"/>
        <v>#VALUE!</v>
      </c>
      <c r="Z210" s="6"/>
      <c r="AA210" s="6"/>
    </row>
    <row r="211" spans="1:27" ht="28.95" customHeight="1" x14ac:dyDescent="0.3">
      <c r="A211" s="91"/>
      <c r="B211" s="91"/>
      <c r="C211" s="80"/>
      <c r="D211" s="91"/>
      <c r="E211" s="80"/>
      <c r="F211" s="6"/>
      <c r="G211" s="6"/>
      <c r="H211" s="25"/>
      <c r="I211" s="133"/>
      <c r="J211" s="6"/>
      <c r="K211" s="6"/>
      <c r="L211" s="6"/>
      <c r="M211" s="6"/>
      <c r="N211" s="84"/>
      <c r="O211" s="80" t="str">
        <f>IF(N211="","",VLOOKUP(N211,ROLES!B:C,2,FALSE))</f>
        <v/>
      </c>
      <c r="P211" s="15"/>
      <c r="Q211" s="15"/>
      <c r="R211" s="16">
        <f t="shared" si="8"/>
        <v>0</v>
      </c>
      <c r="S211" s="16"/>
      <c r="T211" s="80" t="str">
        <f>IF(S211="","",VLOOKUP(S211,VALORACION!F:G,2,FALSE))</f>
        <v/>
      </c>
      <c r="U211" s="11"/>
      <c r="V211" s="80" t="str">
        <f>IF(U211="","",VLOOKUP(U211,ROLES!G:H,2,FALSE))</f>
        <v/>
      </c>
      <c r="W211" s="11"/>
      <c r="X211" s="80" t="str">
        <f>IF(W211="","",VLOOKUP(W211,ROLES!I:J,2,FALSE))</f>
        <v/>
      </c>
      <c r="Y211" s="95" t="e">
        <f t="shared" si="7"/>
        <v>#VALUE!</v>
      </c>
      <c r="Z211" s="6"/>
      <c r="AA211" s="6"/>
    </row>
    <row r="212" spans="1:27" ht="28.95" customHeight="1" x14ac:dyDescent="0.3">
      <c r="A212" s="91"/>
      <c r="B212" s="91"/>
      <c r="C212" s="80"/>
      <c r="D212" s="91"/>
      <c r="E212" s="80"/>
      <c r="F212" s="6"/>
      <c r="G212" s="6"/>
      <c r="H212" s="25"/>
      <c r="I212" s="133"/>
      <c r="J212" s="6"/>
      <c r="K212" s="6"/>
      <c r="L212" s="6"/>
      <c r="M212" s="6"/>
      <c r="N212" s="84"/>
      <c r="O212" s="80" t="str">
        <f>IF(N212="","",VLOOKUP(N212,ROLES!B:C,2,FALSE))</f>
        <v/>
      </c>
      <c r="P212" s="15"/>
      <c r="Q212" s="15"/>
      <c r="R212" s="16">
        <f t="shared" si="8"/>
        <v>0</v>
      </c>
      <c r="S212" s="16"/>
      <c r="T212" s="80" t="str">
        <f>IF(S212="","",VLOOKUP(S212,VALORACION!F:G,2,FALSE))</f>
        <v/>
      </c>
      <c r="U212" s="11"/>
      <c r="V212" s="80" t="str">
        <f>IF(U212="","",VLOOKUP(U212,ROLES!G:H,2,FALSE))</f>
        <v/>
      </c>
      <c r="W212" s="11"/>
      <c r="X212" s="80" t="str">
        <f>IF(W212="","",VLOOKUP(W212,ROLES!I:J,2,FALSE))</f>
        <v/>
      </c>
      <c r="Y212" s="95" t="e">
        <f t="shared" si="7"/>
        <v>#VALUE!</v>
      </c>
      <c r="Z212" s="6"/>
      <c r="AA212" s="6"/>
    </row>
    <row r="213" spans="1:27" ht="28.95" customHeight="1" x14ac:dyDescent="0.3">
      <c r="A213" s="91"/>
      <c r="B213" s="91"/>
      <c r="C213" s="80"/>
      <c r="D213" s="91"/>
      <c r="E213" s="80"/>
      <c r="F213" s="6"/>
      <c r="G213" s="6"/>
      <c r="H213" s="25"/>
      <c r="I213" s="133"/>
      <c r="J213" s="6"/>
      <c r="K213" s="6"/>
      <c r="L213" s="6"/>
      <c r="M213" s="6"/>
      <c r="N213" s="84"/>
      <c r="O213" s="80" t="str">
        <f>IF(N213="","",VLOOKUP(N213,ROLES!B:C,2,FALSE))</f>
        <v/>
      </c>
      <c r="P213" s="15"/>
      <c r="Q213" s="15"/>
      <c r="R213" s="16">
        <f t="shared" si="8"/>
        <v>0</v>
      </c>
      <c r="S213" s="16"/>
      <c r="T213" s="80" t="str">
        <f>IF(S213="","",VLOOKUP(S213,VALORACION!F:G,2,FALSE))</f>
        <v/>
      </c>
      <c r="U213" s="11"/>
      <c r="V213" s="80" t="str">
        <f>IF(U213="","",VLOOKUP(U213,ROLES!G:H,2,FALSE))</f>
        <v/>
      </c>
      <c r="W213" s="11"/>
      <c r="X213" s="80" t="str">
        <f>IF(W213="","",VLOOKUP(W213,ROLES!I:J,2,FALSE))</f>
        <v/>
      </c>
      <c r="Y213" s="95" t="e">
        <f t="shared" si="7"/>
        <v>#VALUE!</v>
      </c>
      <c r="Z213" s="6"/>
      <c r="AA213" s="6"/>
    </row>
    <row r="214" spans="1:27" ht="28.95" customHeight="1" x14ac:dyDescent="0.3">
      <c r="A214" s="91"/>
      <c r="B214" s="91"/>
      <c r="C214" s="80"/>
      <c r="D214" s="91"/>
      <c r="E214" s="80"/>
      <c r="F214" s="6"/>
      <c r="G214" s="6"/>
      <c r="H214" s="25"/>
      <c r="I214" s="133"/>
      <c r="J214" s="6"/>
      <c r="K214" s="6"/>
      <c r="L214" s="6"/>
      <c r="M214" s="6"/>
      <c r="N214" s="84"/>
      <c r="O214" s="80" t="str">
        <f>IF(N214="","",VLOOKUP(N214,ROLES!B:C,2,FALSE))</f>
        <v/>
      </c>
      <c r="P214" s="15"/>
      <c r="Q214" s="15"/>
      <c r="R214" s="16">
        <f t="shared" si="8"/>
        <v>0</v>
      </c>
      <c r="S214" s="16"/>
      <c r="T214" s="80" t="str">
        <f>IF(S214="","",VLOOKUP(S214,VALORACION!F:G,2,FALSE))</f>
        <v/>
      </c>
      <c r="U214" s="11"/>
      <c r="V214" s="80" t="str">
        <f>IF(U214="","",VLOOKUP(U214,ROLES!G:H,2,FALSE))</f>
        <v/>
      </c>
      <c r="W214" s="11"/>
      <c r="X214" s="80" t="str">
        <f>IF(W214="","",VLOOKUP(W214,ROLES!I:J,2,FALSE))</f>
        <v/>
      </c>
      <c r="Y214" s="95" t="e">
        <f t="shared" si="7"/>
        <v>#VALUE!</v>
      </c>
      <c r="Z214" s="6"/>
      <c r="AA214" s="6"/>
    </row>
    <row r="215" spans="1:27" ht="28.95" customHeight="1" x14ac:dyDescent="0.3">
      <c r="A215" s="91"/>
      <c r="B215" s="91"/>
      <c r="C215" s="80"/>
      <c r="D215" s="91"/>
      <c r="E215" s="80"/>
      <c r="F215" s="6"/>
      <c r="G215" s="6"/>
      <c r="H215" s="25"/>
      <c r="I215" s="133"/>
      <c r="J215" s="6"/>
      <c r="K215" s="6"/>
      <c r="L215" s="6"/>
      <c r="M215" s="6"/>
      <c r="N215" s="84"/>
      <c r="O215" s="80" t="str">
        <f>IF(N215="","",VLOOKUP(N215,ROLES!B:C,2,FALSE))</f>
        <v/>
      </c>
      <c r="P215" s="15"/>
      <c r="Q215" s="15"/>
      <c r="R215" s="16">
        <f t="shared" si="8"/>
        <v>0</v>
      </c>
      <c r="S215" s="16"/>
      <c r="T215" s="80" t="str">
        <f>IF(S215="","",VLOOKUP(S215,VALORACION!F:G,2,FALSE))</f>
        <v/>
      </c>
      <c r="U215" s="11"/>
      <c r="V215" s="80" t="str">
        <f>IF(U215="","",VLOOKUP(U215,ROLES!G:H,2,FALSE))</f>
        <v/>
      </c>
      <c r="W215" s="11"/>
      <c r="X215" s="80" t="str">
        <f>IF(W215="","",VLOOKUP(W215,ROLES!I:J,2,FALSE))</f>
        <v/>
      </c>
      <c r="Y215" s="95" t="e">
        <f t="shared" si="7"/>
        <v>#VALUE!</v>
      </c>
      <c r="Z215" s="6"/>
      <c r="AA215" s="6"/>
    </row>
    <row r="216" spans="1:27" ht="28.95" customHeight="1" x14ac:dyDescent="0.3">
      <c r="A216" s="91"/>
      <c r="B216" s="91"/>
      <c r="C216" s="80"/>
      <c r="D216" s="91"/>
      <c r="E216" s="80"/>
      <c r="F216" s="6"/>
      <c r="G216" s="6"/>
      <c r="H216" s="25"/>
      <c r="I216" s="133"/>
      <c r="J216" s="6"/>
      <c r="K216" s="6"/>
      <c r="L216" s="6"/>
      <c r="M216" s="6"/>
      <c r="N216" s="84"/>
      <c r="O216" s="80" t="str">
        <f>IF(N216="","",VLOOKUP(N216,ROLES!B:C,2,FALSE))</f>
        <v/>
      </c>
      <c r="P216" s="15"/>
      <c r="Q216" s="15"/>
      <c r="R216" s="16">
        <f t="shared" si="8"/>
        <v>0</v>
      </c>
      <c r="S216" s="16"/>
      <c r="T216" s="80" t="str">
        <f>IF(S216="","",VLOOKUP(S216,VALORACION!F:G,2,FALSE))</f>
        <v/>
      </c>
      <c r="U216" s="11"/>
      <c r="V216" s="80" t="str">
        <f>IF(U216="","",VLOOKUP(U216,ROLES!G:H,2,FALSE))</f>
        <v/>
      </c>
      <c r="W216" s="11"/>
      <c r="X216" s="80" t="str">
        <f>IF(W216="","",VLOOKUP(W216,ROLES!I:J,2,FALSE))</f>
        <v/>
      </c>
      <c r="Y216" s="95" t="e">
        <f t="shared" si="7"/>
        <v>#VALUE!</v>
      </c>
      <c r="Z216" s="6"/>
      <c r="AA216" s="6"/>
    </row>
    <row r="217" spans="1:27" ht="28.95" customHeight="1" x14ac:dyDescent="0.3">
      <c r="A217" s="91"/>
      <c r="B217" s="91"/>
      <c r="C217" s="80"/>
      <c r="D217" s="91"/>
      <c r="E217" s="80"/>
      <c r="F217" s="6"/>
      <c r="G217" s="6"/>
      <c r="H217" s="25"/>
      <c r="I217" s="133"/>
      <c r="J217" s="6"/>
      <c r="K217" s="6"/>
      <c r="L217" s="6"/>
      <c r="M217" s="6"/>
      <c r="N217" s="84"/>
      <c r="O217" s="80" t="str">
        <f>IF(N217="","",VLOOKUP(N217,ROLES!B:C,2,FALSE))</f>
        <v/>
      </c>
      <c r="P217" s="15"/>
      <c r="Q217" s="15"/>
      <c r="R217" s="16">
        <f t="shared" si="8"/>
        <v>0</v>
      </c>
      <c r="S217" s="16"/>
      <c r="T217" s="80" t="str">
        <f>IF(S217="","",VLOOKUP(S217,VALORACION!F:G,2,FALSE))</f>
        <v/>
      </c>
      <c r="U217" s="11"/>
      <c r="V217" s="80" t="str">
        <f>IF(U217="","",VLOOKUP(U217,ROLES!G:H,2,FALSE))</f>
        <v/>
      </c>
      <c r="W217" s="11"/>
      <c r="X217" s="80" t="str">
        <f>IF(W217="","",VLOOKUP(W217,ROLES!I:J,2,FALSE))</f>
        <v/>
      </c>
      <c r="Y217" s="95" t="e">
        <f t="shared" si="7"/>
        <v>#VALUE!</v>
      </c>
      <c r="Z217" s="6"/>
      <c r="AA217" s="6"/>
    </row>
    <row r="218" spans="1:27" ht="28.95" customHeight="1" x14ac:dyDescent="0.3">
      <c r="A218" s="91"/>
      <c r="B218" s="91"/>
      <c r="C218" s="80"/>
      <c r="D218" s="91"/>
      <c r="E218" s="80"/>
      <c r="F218" s="6"/>
      <c r="G218" s="6"/>
      <c r="H218" s="25"/>
      <c r="I218" s="133"/>
      <c r="J218" s="6"/>
      <c r="K218" s="6"/>
      <c r="L218" s="6"/>
      <c r="M218" s="6"/>
      <c r="N218" s="84"/>
      <c r="O218" s="80" t="str">
        <f>IF(N218="","",VLOOKUP(N218,ROLES!B:C,2,FALSE))</f>
        <v/>
      </c>
      <c r="P218" s="15"/>
      <c r="Q218" s="15"/>
      <c r="R218" s="16">
        <f t="shared" si="8"/>
        <v>0</v>
      </c>
      <c r="S218" s="16"/>
      <c r="T218" s="80" t="str">
        <f>IF(S218="","",VLOOKUP(S218,VALORACION!F:G,2,FALSE))</f>
        <v/>
      </c>
      <c r="U218" s="11"/>
      <c r="V218" s="80" t="str">
        <f>IF(U218="","",VLOOKUP(U218,ROLES!G:H,2,FALSE))</f>
        <v/>
      </c>
      <c r="W218" s="11"/>
      <c r="X218" s="80" t="str">
        <f>IF(W218="","",VLOOKUP(W218,ROLES!I:J,2,FALSE))</f>
        <v/>
      </c>
      <c r="Y218" s="95" t="e">
        <f t="shared" si="7"/>
        <v>#VALUE!</v>
      </c>
      <c r="Z218" s="6"/>
      <c r="AA218" s="6"/>
    </row>
    <row r="219" spans="1:27" ht="28.95" customHeight="1" x14ac:dyDescent="0.3">
      <c r="A219" s="91"/>
      <c r="B219" s="91"/>
      <c r="C219" s="80"/>
      <c r="D219" s="91"/>
      <c r="E219" s="80"/>
      <c r="F219" s="6"/>
      <c r="G219" s="6"/>
      <c r="H219" s="25"/>
      <c r="I219" s="133"/>
      <c r="J219" s="6"/>
      <c r="K219" s="6"/>
      <c r="L219" s="6"/>
      <c r="M219" s="6"/>
      <c r="N219" s="84"/>
      <c r="O219" s="80" t="str">
        <f>IF(N219="","",VLOOKUP(N219,ROLES!B:C,2,FALSE))</f>
        <v/>
      </c>
      <c r="P219" s="15"/>
      <c r="Q219" s="15"/>
      <c r="R219" s="16">
        <f t="shared" si="8"/>
        <v>0</v>
      </c>
      <c r="S219" s="16"/>
      <c r="T219" s="80" t="str">
        <f>IF(S219="","",VLOOKUP(S219,VALORACION!F:G,2,FALSE))</f>
        <v/>
      </c>
      <c r="U219" s="11"/>
      <c r="V219" s="80" t="str">
        <f>IF(U219="","",VLOOKUP(U219,ROLES!G:H,2,FALSE))</f>
        <v/>
      </c>
      <c r="W219" s="11"/>
      <c r="X219" s="80" t="str">
        <f>IF(W219="","",VLOOKUP(W219,ROLES!I:J,2,FALSE))</f>
        <v/>
      </c>
      <c r="Y219" s="95" t="e">
        <f t="shared" si="7"/>
        <v>#VALUE!</v>
      </c>
      <c r="Z219" s="6"/>
      <c r="AA219" s="6"/>
    </row>
    <row r="220" spans="1:27" ht="28.95" customHeight="1" x14ac:dyDescent="0.3">
      <c r="A220" s="91"/>
      <c r="B220" s="91"/>
      <c r="C220" s="80"/>
      <c r="D220" s="91"/>
      <c r="E220" s="80"/>
      <c r="F220" s="6"/>
      <c r="G220" s="6"/>
      <c r="H220" s="25"/>
      <c r="I220" s="133"/>
      <c r="J220" s="6"/>
      <c r="K220" s="6"/>
      <c r="L220" s="6"/>
      <c r="M220" s="6"/>
      <c r="N220" s="84"/>
      <c r="O220" s="80" t="str">
        <f>IF(N220="","",VLOOKUP(N220,ROLES!B:C,2,FALSE))</f>
        <v/>
      </c>
      <c r="P220" s="15"/>
      <c r="Q220" s="15"/>
      <c r="R220" s="16">
        <f t="shared" si="8"/>
        <v>0</v>
      </c>
      <c r="S220" s="16"/>
      <c r="T220" s="80" t="str">
        <f>IF(S220="","",VLOOKUP(S220,VALORACION!F:G,2,FALSE))</f>
        <v/>
      </c>
      <c r="U220" s="11"/>
      <c r="V220" s="80" t="str">
        <f>IF(U220="","",VLOOKUP(U220,ROLES!G:H,2,FALSE))</f>
        <v/>
      </c>
      <c r="W220" s="11"/>
      <c r="X220" s="80" t="str">
        <f>IF(W220="","",VLOOKUP(W220,ROLES!I:J,2,FALSE))</f>
        <v/>
      </c>
      <c r="Y220" s="95" t="e">
        <f t="shared" si="7"/>
        <v>#VALUE!</v>
      </c>
      <c r="Z220" s="6"/>
      <c r="AA220" s="6"/>
    </row>
    <row r="221" spans="1:27" ht="28.95" customHeight="1" x14ac:dyDescent="0.3">
      <c r="A221" s="91"/>
      <c r="B221" s="91"/>
      <c r="C221" s="80"/>
      <c r="D221" s="91"/>
      <c r="E221" s="80"/>
      <c r="F221" s="6"/>
      <c r="G221" s="6"/>
      <c r="H221" s="25"/>
      <c r="I221" s="133"/>
      <c r="J221" s="6"/>
      <c r="K221" s="6"/>
      <c r="L221" s="6"/>
      <c r="M221" s="6"/>
      <c r="N221" s="84"/>
      <c r="O221" s="80" t="str">
        <f>IF(N221="","",VLOOKUP(N221,ROLES!B:C,2,FALSE))</f>
        <v/>
      </c>
      <c r="P221" s="15"/>
      <c r="Q221" s="15"/>
      <c r="R221" s="16">
        <f t="shared" si="8"/>
        <v>0</v>
      </c>
      <c r="S221" s="16"/>
      <c r="T221" s="80" t="str">
        <f>IF(S221="","",VLOOKUP(S221,VALORACION!F:G,2,FALSE))</f>
        <v/>
      </c>
      <c r="U221" s="11"/>
      <c r="V221" s="80" t="str">
        <f>IF(U221="","",VLOOKUP(U221,ROLES!G:H,2,FALSE))</f>
        <v/>
      </c>
      <c r="W221" s="11"/>
      <c r="X221" s="80" t="str">
        <f>IF(W221="","",VLOOKUP(W221,ROLES!I:J,2,FALSE))</f>
        <v/>
      </c>
      <c r="Y221" s="95" t="e">
        <f t="shared" si="7"/>
        <v>#VALUE!</v>
      </c>
      <c r="Z221" s="6"/>
      <c r="AA221" s="6"/>
    </row>
    <row r="222" spans="1:27" ht="28.95" customHeight="1" x14ac:dyDescent="0.3">
      <c r="A222" s="91"/>
      <c r="B222" s="91"/>
      <c r="C222" s="80"/>
      <c r="D222" s="91"/>
      <c r="E222" s="80"/>
      <c r="F222" s="6"/>
      <c r="G222" s="6"/>
      <c r="H222" s="25"/>
      <c r="I222" s="133"/>
      <c r="J222" s="6"/>
      <c r="K222" s="6"/>
      <c r="L222" s="6"/>
      <c r="M222" s="6"/>
      <c r="N222" s="84"/>
      <c r="O222" s="80" t="str">
        <f>IF(N222="","",VLOOKUP(N222,ROLES!B:C,2,FALSE))</f>
        <v/>
      </c>
      <c r="P222" s="15"/>
      <c r="Q222" s="15"/>
      <c r="R222" s="16">
        <f t="shared" si="8"/>
        <v>0</v>
      </c>
      <c r="S222" s="16"/>
      <c r="T222" s="80" t="str">
        <f>IF(S222="","",VLOOKUP(S222,VALORACION!F:G,2,FALSE))</f>
        <v/>
      </c>
      <c r="U222" s="11"/>
      <c r="V222" s="80" t="str">
        <f>IF(U222="","",VLOOKUP(U222,ROLES!G:H,2,FALSE))</f>
        <v/>
      </c>
      <c r="W222" s="11"/>
      <c r="X222" s="80" t="str">
        <f>IF(W222="","",VLOOKUP(W222,ROLES!I:J,2,FALSE))</f>
        <v/>
      </c>
      <c r="Y222" s="95" t="e">
        <f t="shared" si="7"/>
        <v>#VALUE!</v>
      </c>
      <c r="Z222" s="6"/>
      <c r="AA222" s="6"/>
    </row>
    <row r="223" spans="1:27" ht="28.95" customHeight="1" x14ac:dyDescent="0.3">
      <c r="A223" s="91"/>
      <c r="B223" s="91"/>
      <c r="C223" s="80"/>
      <c r="D223" s="91"/>
      <c r="E223" s="80"/>
      <c r="F223" s="6"/>
      <c r="G223" s="6"/>
      <c r="H223" s="25"/>
      <c r="I223" s="133"/>
      <c r="J223" s="6"/>
      <c r="K223" s="6"/>
      <c r="L223" s="6"/>
      <c r="M223" s="6"/>
      <c r="N223" s="84"/>
      <c r="O223" s="80" t="str">
        <f>IF(N223="","",VLOOKUP(N223,ROLES!B:C,2,FALSE))</f>
        <v/>
      </c>
      <c r="P223" s="15"/>
      <c r="Q223" s="15"/>
      <c r="R223" s="16">
        <f t="shared" si="8"/>
        <v>0</v>
      </c>
      <c r="S223" s="16"/>
      <c r="T223" s="80" t="str">
        <f>IF(S223="","",VLOOKUP(S223,VALORACION!F:G,2,FALSE))</f>
        <v/>
      </c>
      <c r="U223" s="11"/>
      <c r="V223" s="80" t="str">
        <f>IF(U223="","",VLOOKUP(U223,ROLES!G:H,2,FALSE))</f>
        <v/>
      </c>
      <c r="W223" s="11"/>
      <c r="X223" s="80" t="str">
        <f>IF(W223="","",VLOOKUP(W223,ROLES!I:J,2,FALSE))</f>
        <v/>
      </c>
      <c r="Y223" s="95" t="e">
        <f t="shared" si="7"/>
        <v>#VALUE!</v>
      </c>
      <c r="Z223" s="6"/>
      <c r="AA223" s="6"/>
    </row>
    <row r="224" spans="1:27" ht="28.95" customHeight="1" x14ac:dyDescent="0.3">
      <c r="A224" s="91"/>
      <c r="B224" s="91"/>
      <c r="C224" s="80"/>
      <c r="D224" s="91"/>
      <c r="E224" s="80"/>
      <c r="F224" s="6"/>
      <c r="G224" s="6"/>
      <c r="H224" s="25"/>
      <c r="I224" s="133"/>
      <c r="J224" s="6"/>
      <c r="K224" s="6"/>
      <c r="L224" s="6"/>
      <c r="M224" s="6"/>
      <c r="N224" s="84"/>
      <c r="O224" s="80" t="str">
        <f>IF(N224="","",VLOOKUP(N224,ROLES!B:C,2,FALSE))</f>
        <v/>
      </c>
      <c r="P224" s="15"/>
      <c r="Q224" s="15"/>
      <c r="R224" s="16">
        <f t="shared" si="8"/>
        <v>0</v>
      </c>
      <c r="S224" s="16"/>
      <c r="T224" s="80" t="str">
        <f>IF(S224="","",VLOOKUP(S224,VALORACION!F:G,2,FALSE))</f>
        <v/>
      </c>
      <c r="U224" s="11"/>
      <c r="V224" s="80" t="str">
        <f>IF(U224="","",VLOOKUP(U224,ROLES!G:H,2,FALSE))</f>
        <v/>
      </c>
      <c r="W224" s="11"/>
      <c r="X224" s="80" t="str">
        <f>IF(W224="","",VLOOKUP(W224,ROLES!I:J,2,FALSE))</f>
        <v/>
      </c>
      <c r="Y224" s="95" t="e">
        <f t="shared" si="7"/>
        <v>#VALUE!</v>
      </c>
      <c r="Z224" s="6"/>
      <c r="AA224" s="6"/>
    </row>
    <row r="225" spans="1:27" ht="28.95" customHeight="1" x14ac:dyDescent="0.3">
      <c r="A225" s="91"/>
      <c r="B225" s="91"/>
      <c r="C225" s="80"/>
      <c r="D225" s="91"/>
      <c r="E225" s="80"/>
      <c r="F225" s="6"/>
      <c r="G225" s="6"/>
      <c r="H225" s="25"/>
      <c r="I225" s="133"/>
      <c r="J225" s="6"/>
      <c r="K225" s="6"/>
      <c r="L225" s="6"/>
      <c r="M225" s="6"/>
      <c r="N225" s="84"/>
      <c r="O225" s="80" t="str">
        <f>IF(N225="","",VLOOKUP(N225,ROLES!B:C,2,FALSE))</f>
        <v/>
      </c>
      <c r="P225" s="15"/>
      <c r="Q225" s="15"/>
      <c r="R225" s="16">
        <f t="shared" si="8"/>
        <v>0</v>
      </c>
      <c r="S225" s="16"/>
      <c r="T225" s="80" t="str">
        <f>IF(S225="","",VLOOKUP(S225,VALORACION!F:G,2,FALSE))</f>
        <v/>
      </c>
      <c r="U225" s="11"/>
      <c r="V225" s="80" t="str">
        <f>IF(U225="","",VLOOKUP(U225,ROLES!G:H,2,FALSE))</f>
        <v/>
      </c>
      <c r="W225" s="11"/>
      <c r="X225" s="80" t="str">
        <f>IF(W225="","",VLOOKUP(W225,ROLES!I:J,2,FALSE))</f>
        <v/>
      </c>
      <c r="Y225" s="95" t="e">
        <f t="shared" si="7"/>
        <v>#VALUE!</v>
      </c>
      <c r="Z225" s="6"/>
      <c r="AA225" s="6"/>
    </row>
    <row r="226" spans="1:27" ht="28.95" customHeight="1" x14ac:dyDescent="0.3">
      <c r="A226" s="91"/>
      <c r="B226" s="91"/>
      <c r="C226" s="80"/>
      <c r="D226" s="91"/>
      <c r="E226" s="80"/>
      <c r="F226" s="6"/>
      <c r="G226" s="6"/>
      <c r="H226" s="25"/>
      <c r="I226" s="133"/>
      <c r="J226" s="6"/>
      <c r="K226" s="6"/>
      <c r="L226" s="6"/>
      <c r="M226" s="6"/>
      <c r="N226" s="84"/>
      <c r="O226" s="80" t="str">
        <f>IF(N226="","",VLOOKUP(N226,ROLES!B:C,2,FALSE))</f>
        <v/>
      </c>
      <c r="P226" s="15"/>
      <c r="Q226" s="15"/>
      <c r="R226" s="16">
        <f t="shared" si="8"/>
        <v>0</v>
      </c>
      <c r="S226" s="16"/>
      <c r="T226" s="80" t="str">
        <f>IF(S226="","",VLOOKUP(S226,VALORACION!F:G,2,FALSE))</f>
        <v/>
      </c>
      <c r="U226" s="11"/>
      <c r="V226" s="80" t="str">
        <f>IF(U226="","",VLOOKUP(U226,ROLES!G:H,2,FALSE))</f>
        <v/>
      </c>
      <c r="W226" s="11"/>
      <c r="X226" s="80" t="str">
        <f>IF(W226="","",VLOOKUP(W226,ROLES!I:J,2,FALSE))</f>
        <v/>
      </c>
      <c r="Y226" s="95" t="e">
        <f t="shared" si="7"/>
        <v>#VALUE!</v>
      </c>
      <c r="Z226" s="6"/>
      <c r="AA226" s="6"/>
    </row>
    <row r="227" spans="1:27" ht="28.95" customHeight="1" x14ac:dyDescent="0.3">
      <c r="A227" s="91"/>
      <c r="B227" s="91"/>
      <c r="C227" s="80"/>
      <c r="D227" s="91"/>
      <c r="E227" s="80"/>
      <c r="F227" s="6"/>
      <c r="G227" s="6"/>
      <c r="H227" s="25"/>
      <c r="I227" s="133"/>
      <c r="J227" s="6"/>
      <c r="K227" s="6"/>
      <c r="L227" s="6"/>
      <c r="M227" s="6"/>
      <c r="N227" s="84"/>
      <c r="O227" s="80" t="str">
        <f>IF(N227="","",VLOOKUP(N227,ROLES!B:C,2,FALSE))</f>
        <v/>
      </c>
      <c r="P227" s="15"/>
      <c r="Q227" s="15"/>
      <c r="R227" s="16">
        <f t="shared" si="8"/>
        <v>0</v>
      </c>
      <c r="S227" s="16"/>
      <c r="T227" s="80" t="str">
        <f>IF(S227="","",VLOOKUP(S227,VALORACION!F:G,2,FALSE))</f>
        <v/>
      </c>
      <c r="U227" s="11"/>
      <c r="V227" s="80" t="str">
        <f>IF(U227="","",VLOOKUP(U227,ROLES!G:H,2,FALSE))</f>
        <v/>
      </c>
      <c r="W227" s="11"/>
      <c r="X227" s="80" t="str">
        <f>IF(W227="","",VLOOKUP(W227,ROLES!I:J,2,FALSE))</f>
        <v/>
      </c>
      <c r="Y227" s="95" t="e">
        <f t="shared" si="7"/>
        <v>#VALUE!</v>
      </c>
      <c r="Z227" s="6"/>
      <c r="AA227" s="6"/>
    </row>
    <row r="228" spans="1:27" ht="28.95" customHeight="1" x14ac:dyDescent="0.3">
      <c r="A228" s="91"/>
      <c r="B228" s="91"/>
      <c r="C228" s="80"/>
      <c r="D228" s="91"/>
      <c r="E228" s="80"/>
      <c r="F228" s="6"/>
      <c r="G228" s="6"/>
      <c r="H228" s="25"/>
      <c r="I228" s="133"/>
      <c r="J228" s="6"/>
      <c r="K228" s="6"/>
      <c r="L228" s="6"/>
      <c r="M228" s="6"/>
      <c r="N228" s="84"/>
      <c r="O228" s="80" t="str">
        <f>IF(N228="","",VLOOKUP(N228,ROLES!B:C,2,FALSE))</f>
        <v/>
      </c>
      <c r="P228" s="15"/>
      <c r="Q228" s="15"/>
      <c r="R228" s="16">
        <f t="shared" si="8"/>
        <v>0</v>
      </c>
      <c r="S228" s="16"/>
      <c r="T228" s="80" t="str">
        <f>IF(S228="","",VLOOKUP(S228,VALORACION!F:G,2,FALSE))</f>
        <v/>
      </c>
      <c r="U228" s="11"/>
      <c r="V228" s="80" t="str">
        <f>IF(U228="","",VLOOKUP(U228,ROLES!G:H,2,FALSE))</f>
        <v/>
      </c>
      <c r="W228" s="11"/>
      <c r="X228" s="80" t="str">
        <f>IF(W228="","",VLOOKUP(W228,ROLES!I:J,2,FALSE))</f>
        <v/>
      </c>
      <c r="Y228" s="95" t="e">
        <f t="shared" si="7"/>
        <v>#VALUE!</v>
      </c>
      <c r="Z228" s="6"/>
      <c r="AA228" s="6"/>
    </row>
    <row r="229" spans="1:27" ht="28.95" customHeight="1" x14ac:dyDescent="0.3">
      <c r="A229" s="91"/>
      <c r="B229" s="91"/>
      <c r="C229" s="80"/>
      <c r="D229" s="91"/>
      <c r="E229" s="80"/>
      <c r="F229" s="6"/>
      <c r="G229" s="6"/>
      <c r="H229" s="25"/>
      <c r="I229" s="133"/>
      <c r="J229" s="6"/>
      <c r="K229" s="6"/>
      <c r="L229" s="6"/>
      <c r="M229" s="6"/>
      <c r="N229" s="84"/>
      <c r="O229" s="80" t="str">
        <f>IF(N229="","",VLOOKUP(N229,ROLES!B:C,2,FALSE))</f>
        <v/>
      </c>
      <c r="P229" s="15"/>
      <c r="Q229" s="15"/>
      <c r="R229" s="16">
        <f t="shared" si="8"/>
        <v>0</v>
      </c>
      <c r="S229" s="16"/>
      <c r="T229" s="80" t="str">
        <f>IF(S229="","",VLOOKUP(S229,VALORACION!F:G,2,FALSE))</f>
        <v/>
      </c>
      <c r="U229" s="11"/>
      <c r="V229" s="80" t="str">
        <f>IF(U229="","",VLOOKUP(U229,ROLES!G:H,2,FALSE))</f>
        <v/>
      </c>
      <c r="W229" s="11"/>
      <c r="X229" s="80" t="str">
        <f>IF(W229="","",VLOOKUP(W229,ROLES!I:J,2,FALSE))</f>
        <v/>
      </c>
      <c r="Y229" s="95" t="e">
        <f t="shared" si="7"/>
        <v>#VALUE!</v>
      </c>
      <c r="Z229" s="6"/>
      <c r="AA229" s="6"/>
    </row>
    <row r="230" spans="1:27" ht="28.95" customHeight="1" x14ac:dyDescent="0.3">
      <c r="A230" s="91"/>
      <c r="B230" s="91"/>
      <c r="C230" s="80"/>
      <c r="D230" s="91"/>
      <c r="E230" s="80"/>
      <c r="F230" s="6"/>
      <c r="G230" s="6"/>
      <c r="H230" s="25"/>
      <c r="I230" s="133"/>
      <c r="J230" s="6"/>
      <c r="K230" s="6"/>
      <c r="L230" s="6"/>
      <c r="M230" s="6"/>
      <c r="N230" s="84"/>
      <c r="O230" s="80" t="str">
        <f>IF(N230="","",VLOOKUP(N230,ROLES!B:C,2,FALSE))</f>
        <v/>
      </c>
      <c r="P230" s="15"/>
      <c r="Q230" s="15"/>
      <c r="R230" s="16">
        <f t="shared" si="8"/>
        <v>0</v>
      </c>
      <c r="S230" s="16"/>
      <c r="T230" s="80" t="str">
        <f>IF(S230="","",VLOOKUP(S230,VALORACION!F:G,2,FALSE))</f>
        <v/>
      </c>
      <c r="U230" s="11"/>
      <c r="V230" s="80" t="str">
        <f>IF(U230="","",VLOOKUP(U230,ROLES!G:H,2,FALSE))</f>
        <v/>
      </c>
      <c r="W230" s="11"/>
      <c r="X230" s="80" t="str">
        <f>IF(W230="","",VLOOKUP(W230,ROLES!I:J,2,FALSE))</f>
        <v/>
      </c>
      <c r="Y230" s="95" t="e">
        <f t="shared" si="7"/>
        <v>#VALUE!</v>
      </c>
      <c r="Z230" s="6"/>
      <c r="AA230" s="6"/>
    </row>
    <row r="231" spans="1:27" ht="28.95" customHeight="1" x14ac:dyDescent="0.3">
      <c r="A231" s="91"/>
      <c r="B231" s="91"/>
      <c r="C231" s="80"/>
      <c r="D231" s="91"/>
      <c r="E231" s="80"/>
      <c r="F231" s="6"/>
      <c r="G231" s="6"/>
      <c r="H231" s="25"/>
      <c r="I231" s="133"/>
      <c r="J231" s="6"/>
      <c r="K231" s="6"/>
      <c r="L231" s="6"/>
      <c r="M231" s="6"/>
      <c r="N231" s="84"/>
      <c r="O231" s="80" t="str">
        <f>IF(N231="","",VLOOKUP(N231,ROLES!B:C,2,FALSE))</f>
        <v/>
      </c>
      <c r="P231" s="15"/>
      <c r="Q231" s="15"/>
      <c r="R231" s="16">
        <f t="shared" si="8"/>
        <v>0</v>
      </c>
      <c r="S231" s="16"/>
      <c r="T231" s="80" t="str">
        <f>IF(S231="","",VLOOKUP(S231,VALORACION!F:G,2,FALSE))</f>
        <v/>
      </c>
      <c r="U231" s="11"/>
      <c r="V231" s="80" t="str">
        <f>IF(U231="","",VLOOKUP(U231,ROLES!G:H,2,FALSE))</f>
        <v/>
      </c>
      <c r="W231" s="11"/>
      <c r="X231" s="80" t="str">
        <f>IF(W231="","",VLOOKUP(W231,ROLES!I:J,2,FALSE))</f>
        <v/>
      </c>
      <c r="Y231" s="95" t="e">
        <f t="shared" si="7"/>
        <v>#VALUE!</v>
      </c>
      <c r="Z231" s="6"/>
      <c r="AA231" s="6"/>
    </row>
    <row r="232" spans="1:27" ht="28.95" customHeight="1" x14ac:dyDescent="0.3">
      <c r="A232" s="91"/>
      <c r="B232" s="91"/>
      <c r="C232" s="80"/>
      <c r="D232" s="91"/>
      <c r="E232" s="80"/>
      <c r="F232" s="6"/>
      <c r="G232" s="6"/>
      <c r="H232" s="25"/>
      <c r="I232" s="133"/>
      <c r="J232" s="6"/>
      <c r="K232" s="6"/>
      <c r="L232" s="6"/>
      <c r="M232" s="6"/>
      <c r="N232" s="84"/>
      <c r="O232" s="80" t="str">
        <f>IF(N232="","",VLOOKUP(N232,ROLES!B:C,2,FALSE))</f>
        <v/>
      </c>
      <c r="P232" s="15"/>
      <c r="Q232" s="15"/>
      <c r="R232" s="16">
        <f t="shared" si="8"/>
        <v>0</v>
      </c>
      <c r="S232" s="16"/>
      <c r="T232" s="80" t="str">
        <f>IF(S232="","",VLOOKUP(S232,VALORACION!F:G,2,FALSE))</f>
        <v/>
      </c>
      <c r="U232" s="11"/>
      <c r="V232" s="80" t="str">
        <f>IF(U232="","",VLOOKUP(U232,ROLES!G:H,2,FALSE))</f>
        <v/>
      </c>
      <c r="W232" s="11"/>
      <c r="X232" s="80" t="str">
        <f>IF(W232="","",VLOOKUP(W232,ROLES!I:J,2,FALSE))</f>
        <v/>
      </c>
      <c r="Y232" s="95" t="e">
        <f t="shared" si="7"/>
        <v>#VALUE!</v>
      </c>
      <c r="Z232" s="6"/>
      <c r="AA232" s="6"/>
    </row>
    <row r="233" spans="1:27" ht="28.95" customHeight="1" x14ac:dyDescent="0.3">
      <c r="A233" s="91"/>
      <c r="B233" s="91"/>
      <c r="C233" s="80"/>
      <c r="D233" s="91"/>
      <c r="E233" s="80"/>
      <c r="F233" s="6"/>
      <c r="G233" s="6"/>
      <c r="H233" s="25"/>
      <c r="I233" s="133"/>
      <c r="J233" s="6"/>
      <c r="K233" s="6"/>
      <c r="L233" s="6"/>
      <c r="M233" s="6"/>
      <c r="N233" s="84"/>
      <c r="O233" s="80" t="str">
        <f>IF(N233="","",VLOOKUP(N233,ROLES!B:C,2,FALSE))</f>
        <v/>
      </c>
      <c r="P233" s="15"/>
      <c r="Q233" s="15"/>
      <c r="R233" s="16">
        <f t="shared" si="8"/>
        <v>0</v>
      </c>
      <c r="S233" s="16"/>
      <c r="T233" s="80" t="str">
        <f>IF(S233="","",VLOOKUP(S233,VALORACION!F:G,2,FALSE))</f>
        <v/>
      </c>
      <c r="U233" s="11"/>
      <c r="V233" s="80" t="str">
        <f>IF(U233="","",VLOOKUP(U233,ROLES!G:H,2,FALSE))</f>
        <v/>
      </c>
      <c r="W233" s="11"/>
      <c r="X233" s="80" t="str">
        <f>IF(W233="","",VLOOKUP(W233,ROLES!I:J,2,FALSE))</f>
        <v/>
      </c>
      <c r="Y233" s="95" t="e">
        <f t="shared" si="7"/>
        <v>#VALUE!</v>
      </c>
      <c r="Z233" s="6"/>
      <c r="AA233" s="6"/>
    </row>
    <row r="234" spans="1:27" ht="28.95" customHeight="1" x14ac:dyDescent="0.3">
      <c r="A234" s="91"/>
      <c r="B234" s="91"/>
      <c r="C234" s="80"/>
      <c r="D234" s="91"/>
      <c r="E234" s="80"/>
      <c r="F234" s="6"/>
      <c r="G234" s="6"/>
      <c r="H234" s="25"/>
      <c r="I234" s="133"/>
      <c r="J234" s="6"/>
      <c r="K234" s="6"/>
      <c r="L234" s="6"/>
      <c r="M234" s="6"/>
      <c r="N234" s="84"/>
      <c r="O234" s="80" t="str">
        <f>IF(N234="","",VLOOKUP(N234,ROLES!B:C,2,FALSE))</f>
        <v/>
      </c>
      <c r="P234" s="15"/>
      <c r="Q234" s="15"/>
      <c r="R234" s="16">
        <f t="shared" si="8"/>
        <v>0</v>
      </c>
      <c r="S234" s="16"/>
      <c r="T234" s="80" t="str">
        <f>IF(S234="","",VLOOKUP(S234,VALORACION!F:G,2,FALSE))</f>
        <v/>
      </c>
      <c r="U234" s="11"/>
      <c r="V234" s="80" t="str">
        <f>IF(U234="","",VLOOKUP(U234,ROLES!G:H,2,FALSE))</f>
        <v/>
      </c>
      <c r="W234" s="11"/>
      <c r="X234" s="80" t="str">
        <f>IF(W234="","",VLOOKUP(W234,ROLES!I:J,2,FALSE))</f>
        <v/>
      </c>
      <c r="Y234" s="95" t="e">
        <f t="shared" si="7"/>
        <v>#VALUE!</v>
      </c>
      <c r="Z234" s="6"/>
      <c r="AA234" s="6"/>
    </row>
    <row r="235" spans="1:27" ht="28.95" customHeight="1" x14ac:dyDescent="0.3">
      <c r="A235" s="91"/>
      <c r="B235" s="91"/>
      <c r="C235" s="80"/>
      <c r="D235" s="91"/>
      <c r="E235" s="80"/>
      <c r="F235" s="6"/>
      <c r="G235" s="6"/>
      <c r="H235" s="25"/>
      <c r="I235" s="133"/>
      <c r="J235" s="6"/>
      <c r="K235" s="6"/>
      <c r="L235" s="6"/>
      <c r="M235" s="6"/>
      <c r="N235" s="84"/>
      <c r="O235" s="80" t="str">
        <f>IF(N235="","",VLOOKUP(N235,ROLES!B:C,2,FALSE))</f>
        <v/>
      </c>
      <c r="P235" s="15"/>
      <c r="Q235" s="15"/>
      <c r="R235" s="16">
        <f t="shared" si="8"/>
        <v>0</v>
      </c>
      <c r="S235" s="16"/>
      <c r="T235" s="80" t="str">
        <f>IF(S235="","",VLOOKUP(S235,VALORACION!F:G,2,FALSE))</f>
        <v/>
      </c>
      <c r="U235" s="11"/>
      <c r="V235" s="80" t="str">
        <f>IF(U235="","",VLOOKUP(U235,ROLES!G:H,2,FALSE))</f>
        <v/>
      </c>
      <c r="W235" s="11"/>
      <c r="X235" s="80" t="str">
        <f>IF(W235="","",VLOOKUP(W235,ROLES!I:J,2,FALSE))</f>
        <v/>
      </c>
      <c r="Y235" s="95" t="e">
        <f t="shared" si="7"/>
        <v>#VALUE!</v>
      </c>
      <c r="Z235" s="6"/>
      <c r="AA235" s="6"/>
    </row>
    <row r="236" spans="1:27" ht="28.95" customHeight="1" x14ac:dyDescent="0.3">
      <c r="A236" s="91"/>
      <c r="B236" s="91"/>
      <c r="C236" s="80"/>
      <c r="D236" s="91"/>
      <c r="E236" s="80"/>
      <c r="F236" s="6"/>
      <c r="G236" s="6"/>
      <c r="H236" s="25"/>
      <c r="I236" s="133"/>
      <c r="J236" s="6"/>
      <c r="K236" s="6"/>
      <c r="L236" s="6"/>
      <c r="M236" s="6"/>
      <c r="N236" s="84"/>
      <c r="O236" s="80" t="str">
        <f>IF(N236="","",VLOOKUP(N236,ROLES!B:C,2,FALSE))</f>
        <v/>
      </c>
      <c r="P236" s="15"/>
      <c r="Q236" s="15"/>
      <c r="R236" s="16">
        <f t="shared" si="8"/>
        <v>0</v>
      </c>
      <c r="S236" s="16"/>
      <c r="T236" s="80" t="str">
        <f>IF(S236="","",VLOOKUP(S236,VALORACION!F:G,2,FALSE))</f>
        <v/>
      </c>
      <c r="U236" s="11"/>
      <c r="V236" s="80" t="str">
        <f>IF(U236="","",VLOOKUP(U236,ROLES!G:H,2,FALSE))</f>
        <v/>
      </c>
      <c r="W236" s="11"/>
      <c r="X236" s="80" t="str">
        <f>IF(W236="","",VLOOKUP(W236,ROLES!I:J,2,FALSE))</f>
        <v/>
      </c>
      <c r="Y236" s="95" t="e">
        <f t="shared" si="7"/>
        <v>#VALUE!</v>
      </c>
      <c r="Z236" s="6"/>
      <c r="AA236" s="6"/>
    </row>
    <row r="237" spans="1:27" ht="28.95" customHeight="1" x14ac:dyDescent="0.3">
      <c r="A237" s="91"/>
      <c r="B237" s="91"/>
      <c r="C237" s="80"/>
      <c r="D237" s="91"/>
      <c r="E237" s="80"/>
      <c r="F237" s="6"/>
      <c r="G237" s="6"/>
      <c r="H237" s="25"/>
      <c r="I237" s="133"/>
      <c r="J237" s="6"/>
      <c r="K237" s="6"/>
      <c r="L237" s="6"/>
      <c r="M237" s="6"/>
      <c r="N237" s="84"/>
      <c r="O237" s="80" t="str">
        <f>IF(N237="","",VLOOKUP(N237,ROLES!B:C,2,FALSE))</f>
        <v/>
      </c>
      <c r="P237" s="15"/>
      <c r="Q237" s="15"/>
      <c r="R237" s="16">
        <f t="shared" si="8"/>
        <v>0</v>
      </c>
      <c r="S237" s="16"/>
      <c r="T237" s="80" t="str">
        <f>IF(S237="","",VLOOKUP(S237,VALORACION!F:G,2,FALSE))</f>
        <v/>
      </c>
      <c r="U237" s="11"/>
      <c r="V237" s="80" t="str">
        <f>IF(U237="","",VLOOKUP(U237,ROLES!G:H,2,FALSE))</f>
        <v/>
      </c>
      <c r="W237" s="11"/>
      <c r="X237" s="80" t="str">
        <f>IF(W237="","",VLOOKUP(W237,ROLES!I:J,2,FALSE))</f>
        <v/>
      </c>
      <c r="Y237" s="95" t="e">
        <f t="shared" si="7"/>
        <v>#VALUE!</v>
      </c>
      <c r="Z237" s="6"/>
      <c r="AA237" s="6"/>
    </row>
    <row r="238" spans="1:27" ht="28.95" customHeight="1" x14ac:dyDescent="0.3">
      <c r="A238" s="91"/>
      <c r="B238" s="91"/>
      <c r="C238" s="80"/>
      <c r="D238" s="91"/>
      <c r="E238" s="80"/>
      <c r="F238" s="6"/>
      <c r="G238" s="6"/>
      <c r="H238" s="25"/>
      <c r="I238" s="133"/>
      <c r="J238" s="6"/>
      <c r="K238" s="6"/>
      <c r="L238" s="6"/>
      <c r="M238" s="6"/>
      <c r="N238" s="84"/>
      <c r="O238" s="80" t="str">
        <f>IF(N238="","",VLOOKUP(N238,ROLES!B:C,2,FALSE))</f>
        <v/>
      </c>
      <c r="P238" s="15"/>
      <c r="Q238" s="15"/>
      <c r="R238" s="16">
        <f t="shared" si="8"/>
        <v>0</v>
      </c>
      <c r="S238" s="16"/>
      <c r="T238" s="80" t="str">
        <f>IF(S238="","",VLOOKUP(S238,VALORACION!F:G,2,FALSE))</f>
        <v/>
      </c>
      <c r="U238" s="11"/>
      <c r="V238" s="80" t="str">
        <f>IF(U238="","",VLOOKUP(U238,ROLES!G:H,2,FALSE))</f>
        <v/>
      </c>
      <c r="W238" s="11"/>
      <c r="X238" s="80" t="str">
        <f>IF(W238="","",VLOOKUP(W238,ROLES!I:J,2,FALSE))</f>
        <v/>
      </c>
      <c r="Y238" s="95" t="e">
        <f t="shared" si="7"/>
        <v>#VALUE!</v>
      </c>
      <c r="Z238" s="6"/>
      <c r="AA238" s="6"/>
    </row>
    <row r="239" spans="1:27" ht="28.95" customHeight="1" x14ac:dyDescent="0.3">
      <c r="A239" s="91"/>
      <c r="B239" s="91"/>
      <c r="C239" s="80"/>
      <c r="D239" s="91"/>
      <c r="E239" s="80"/>
      <c r="F239" s="6"/>
      <c r="G239" s="6"/>
      <c r="H239" s="25"/>
      <c r="I239" s="133"/>
      <c r="J239" s="6"/>
      <c r="K239" s="6"/>
      <c r="L239" s="6"/>
      <c r="M239" s="6"/>
      <c r="N239" s="84"/>
      <c r="O239" s="80" t="str">
        <f>IF(N239="","",VLOOKUP(N239,ROLES!B:C,2,FALSE))</f>
        <v/>
      </c>
      <c r="P239" s="15"/>
      <c r="Q239" s="15"/>
      <c r="R239" s="16">
        <f t="shared" si="8"/>
        <v>0</v>
      </c>
      <c r="S239" s="16"/>
      <c r="T239" s="80" t="str">
        <f>IF(S239="","",VLOOKUP(S239,VALORACION!F:G,2,FALSE))</f>
        <v/>
      </c>
      <c r="U239" s="11"/>
      <c r="V239" s="80" t="str">
        <f>IF(U239="","",VLOOKUP(U239,ROLES!G:H,2,FALSE))</f>
        <v/>
      </c>
      <c r="W239" s="11"/>
      <c r="X239" s="80" t="str">
        <f>IF(W239="","",VLOOKUP(W239,ROLES!I:J,2,FALSE))</f>
        <v/>
      </c>
      <c r="Y239" s="95" t="e">
        <f t="shared" si="7"/>
        <v>#VALUE!</v>
      </c>
      <c r="Z239" s="6"/>
      <c r="AA239" s="6"/>
    </row>
    <row r="240" spans="1:27" ht="28.95" customHeight="1" x14ac:dyDescent="0.3">
      <c r="A240" s="91"/>
      <c r="B240" s="91"/>
      <c r="C240" s="80"/>
      <c r="D240" s="91"/>
      <c r="E240" s="80"/>
      <c r="F240" s="6"/>
      <c r="G240" s="6"/>
      <c r="H240" s="25"/>
      <c r="I240" s="133"/>
      <c r="J240" s="6"/>
      <c r="K240" s="6"/>
      <c r="L240" s="6"/>
      <c r="M240" s="6"/>
      <c r="N240" s="84"/>
      <c r="O240" s="80" t="str">
        <f>IF(N240="","",VLOOKUP(N240,ROLES!B:C,2,FALSE))</f>
        <v/>
      </c>
      <c r="P240" s="15"/>
      <c r="Q240" s="15"/>
      <c r="R240" s="16">
        <f t="shared" si="8"/>
        <v>0</v>
      </c>
      <c r="S240" s="16"/>
      <c r="T240" s="80" t="str">
        <f>IF(S240="","",VLOOKUP(S240,VALORACION!F:G,2,FALSE))</f>
        <v/>
      </c>
      <c r="U240" s="11"/>
      <c r="V240" s="80" t="str">
        <f>IF(U240="","",VLOOKUP(U240,ROLES!G:H,2,FALSE))</f>
        <v/>
      </c>
      <c r="W240" s="11"/>
      <c r="X240" s="80" t="str">
        <f>IF(W240="","",VLOOKUP(W240,ROLES!I:J,2,FALSE))</f>
        <v/>
      </c>
      <c r="Y240" s="95" t="e">
        <f t="shared" si="7"/>
        <v>#VALUE!</v>
      </c>
      <c r="Z240" s="6"/>
      <c r="AA240" s="6"/>
    </row>
    <row r="241" spans="1:27" ht="28.95" customHeight="1" x14ac:dyDescent="0.3">
      <c r="A241" s="91"/>
      <c r="B241" s="91"/>
      <c r="C241" s="80"/>
      <c r="D241" s="91"/>
      <c r="E241" s="80"/>
      <c r="F241" s="6"/>
      <c r="G241" s="6"/>
      <c r="H241" s="25"/>
      <c r="I241" s="133"/>
      <c r="J241" s="6"/>
      <c r="K241" s="6"/>
      <c r="L241" s="6"/>
      <c r="M241" s="6"/>
      <c r="N241" s="84"/>
      <c r="O241" s="80" t="str">
        <f>IF(N241="","",VLOOKUP(N241,ROLES!B:C,2,FALSE))</f>
        <v/>
      </c>
      <c r="P241" s="15"/>
      <c r="Q241" s="15"/>
      <c r="R241" s="16">
        <f t="shared" si="8"/>
        <v>0</v>
      </c>
      <c r="S241" s="16"/>
      <c r="T241" s="80" t="str">
        <f>IF(S241="","",VLOOKUP(S241,VALORACION!F:G,2,FALSE))</f>
        <v/>
      </c>
      <c r="U241" s="11"/>
      <c r="V241" s="80" t="str">
        <f>IF(U241="","",VLOOKUP(U241,ROLES!G:H,2,FALSE))</f>
        <v/>
      </c>
      <c r="W241" s="11"/>
      <c r="X241" s="80" t="str">
        <f>IF(W241="","",VLOOKUP(W241,ROLES!I:J,2,FALSE))</f>
        <v/>
      </c>
      <c r="Y241" s="95" t="e">
        <f t="shared" si="7"/>
        <v>#VALUE!</v>
      </c>
      <c r="Z241" s="6"/>
      <c r="AA241" s="6"/>
    </row>
    <row r="242" spans="1:27" ht="28.95" customHeight="1" x14ac:dyDescent="0.3">
      <c r="A242" s="91"/>
      <c r="B242" s="91"/>
      <c r="C242" s="80"/>
      <c r="D242" s="91"/>
      <c r="E242" s="80"/>
      <c r="F242" s="6"/>
      <c r="G242" s="6"/>
      <c r="H242" s="25"/>
      <c r="I242" s="133"/>
      <c r="J242" s="6"/>
      <c r="K242" s="6"/>
      <c r="L242" s="6"/>
      <c r="M242" s="6"/>
      <c r="N242" s="84"/>
      <c r="O242" s="80" t="str">
        <f>IF(N242="","",VLOOKUP(N242,ROLES!B:C,2,FALSE))</f>
        <v/>
      </c>
      <c r="P242" s="15"/>
      <c r="Q242" s="15"/>
      <c r="R242" s="16">
        <f t="shared" si="8"/>
        <v>0</v>
      </c>
      <c r="S242" s="16"/>
      <c r="T242" s="80" t="str">
        <f>IF(S242="","",VLOOKUP(S242,VALORACION!F:G,2,FALSE))</f>
        <v/>
      </c>
      <c r="U242" s="11"/>
      <c r="V242" s="80" t="str">
        <f>IF(U242="","",VLOOKUP(U242,ROLES!G:H,2,FALSE))</f>
        <v/>
      </c>
      <c r="W242" s="11"/>
      <c r="X242" s="80" t="str">
        <f>IF(W242="","",VLOOKUP(W242,ROLES!I:J,2,FALSE))</f>
        <v/>
      </c>
      <c r="Y242" s="95" t="e">
        <f t="shared" si="7"/>
        <v>#VALUE!</v>
      </c>
      <c r="Z242" s="6"/>
      <c r="AA242" s="6"/>
    </row>
    <row r="243" spans="1:27" ht="28.95" customHeight="1" x14ac:dyDescent="0.3">
      <c r="A243" s="91"/>
      <c r="B243" s="91"/>
      <c r="C243" s="80"/>
      <c r="D243" s="91"/>
      <c r="E243" s="80"/>
      <c r="F243" s="6"/>
      <c r="G243" s="6"/>
      <c r="H243" s="25"/>
      <c r="I243" s="133"/>
      <c r="J243" s="6"/>
      <c r="K243" s="6"/>
      <c r="L243" s="6"/>
      <c r="M243" s="6"/>
      <c r="N243" s="84"/>
      <c r="O243" s="80" t="str">
        <f>IF(N243="","",VLOOKUP(N243,ROLES!B:C,2,FALSE))</f>
        <v/>
      </c>
      <c r="P243" s="15"/>
      <c r="Q243" s="15"/>
      <c r="R243" s="16">
        <f t="shared" si="8"/>
        <v>0</v>
      </c>
      <c r="S243" s="16"/>
      <c r="T243" s="80" t="str">
        <f>IF(S243="","",VLOOKUP(S243,VALORACION!F:G,2,FALSE))</f>
        <v/>
      </c>
      <c r="U243" s="11"/>
      <c r="V243" s="80" t="str">
        <f>IF(U243="","",VLOOKUP(U243,ROLES!G:H,2,FALSE))</f>
        <v/>
      </c>
      <c r="W243" s="11"/>
      <c r="X243" s="80" t="str">
        <f>IF(W243="","",VLOOKUP(W243,ROLES!I:J,2,FALSE))</f>
        <v/>
      </c>
      <c r="Y243" s="95" t="e">
        <f t="shared" si="7"/>
        <v>#VALUE!</v>
      </c>
      <c r="Z243" s="6"/>
      <c r="AA243" s="6"/>
    </row>
    <row r="244" spans="1:27" ht="28.95" customHeight="1" x14ac:dyDescent="0.3">
      <c r="A244" s="91"/>
      <c r="B244" s="91"/>
      <c r="C244" s="80"/>
      <c r="D244" s="91"/>
      <c r="E244" s="80"/>
      <c r="F244" s="6"/>
      <c r="G244" s="6"/>
      <c r="H244" s="25"/>
      <c r="I244" s="133"/>
      <c r="J244" s="6"/>
      <c r="K244" s="6"/>
      <c r="L244" s="6"/>
      <c r="M244" s="6"/>
      <c r="N244" s="84"/>
      <c r="O244" s="80" t="str">
        <f>IF(N244="","",VLOOKUP(N244,ROLES!B:C,2,FALSE))</f>
        <v/>
      </c>
      <c r="P244" s="15"/>
      <c r="Q244" s="15"/>
      <c r="R244" s="16">
        <f t="shared" si="8"/>
        <v>0</v>
      </c>
      <c r="S244" s="16"/>
      <c r="T244" s="80" t="str">
        <f>IF(S244="","",VLOOKUP(S244,VALORACION!F:G,2,FALSE))</f>
        <v/>
      </c>
      <c r="U244" s="11"/>
      <c r="V244" s="80" t="str">
        <f>IF(U244="","",VLOOKUP(U244,ROLES!G:H,2,FALSE))</f>
        <v/>
      </c>
      <c r="W244" s="11"/>
      <c r="X244" s="80" t="str">
        <f>IF(W244="","",VLOOKUP(W244,ROLES!I:J,2,FALSE))</f>
        <v/>
      </c>
      <c r="Y244" s="95" t="e">
        <f t="shared" si="7"/>
        <v>#VALUE!</v>
      </c>
      <c r="Z244" s="6"/>
      <c r="AA244" s="6"/>
    </row>
    <row r="245" spans="1:27" ht="28.95" customHeight="1" x14ac:dyDescent="0.3">
      <c r="A245" s="91"/>
      <c r="B245" s="91"/>
      <c r="C245" s="80"/>
      <c r="D245" s="91"/>
      <c r="E245" s="80"/>
      <c r="F245" s="6"/>
      <c r="G245" s="6"/>
      <c r="H245" s="25"/>
      <c r="I245" s="133"/>
      <c r="J245" s="6"/>
      <c r="K245" s="6"/>
      <c r="L245" s="6"/>
      <c r="M245" s="6"/>
      <c r="N245" s="84"/>
      <c r="O245" s="80" t="str">
        <f>IF(N245="","",VLOOKUP(N245,ROLES!B:C,2,FALSE))</f>
        <v/>
      </c>
      <c r="P245" s="15"/>
      <c r="Q245" s="15"/>
      <c r="R245" s="16">
        <f t="shared" si="8"/>
        <v>0</v>
      </c>
      <c r="S245" s="16"/>
      <c r="T245" s="80" t="str">
        <f>IF(S245="","",VLOOKUP(S245,VALORACION!F:G,2,FALSE))</f>
        <v/>
      </c>
      <c r="U245" s="11"/>
      <c r="V245" s="80" t="str">
        <f>IF(U245="","",VLOOKUP(U245,ROLES!G:H,2,FALSE))</f>
        <v/>
      </c>
      <c r="W245" s="11"/>
      <c r="X245" s="80" t="str">
        <f>IF(W245="","",VLOOKUP(W245,ROLES!I:J,2,FALSE))</f>
        <v/>
      </c>
      <c r="Y245" s="95" t="e">
        <f t="shared" si="7"/>
        <v>#VALUE!</v>
      </c>
      <c r="Z245" s="6"/>
      <c r="AA245" s="6"/>
    </row>
    <row r="246" spans="1:27" ht="28.95" customHeight="1" x14ac:dyDescent="0.3">
      <c r="A246" s="91"/>
      <c r="B246" s="91"/>
      <c r="C246" s="80"/>
      <c r="D246" s="91"/>
      <c r="E246" s="80"/>
      <c r="F246" s="6"/>
      <c r="G246" s="6"/>
      <c r="H246" s="25"/>
      <c r="I246" s="133"/>
      <c r="J246" s="6"/>
      <c r="K246" s="6"/>
      <c r="L246" s="6"/>
      <c r="M246" s="6"/>
      <c r="N246" s="84"/>
      <c r="O246" s="80" t="str">
        <f>IF(N246="","",VLOOKUP(N246,ROLES!B:C,2,FALSE))</f>
        <v/>
      </c>
      <c r="P246" s="15"/>
      <c r="Q246" s="15"/>
      <c r="R246" s="16">
        <f t="shared" si="8"/>
        <v>0</v>
      </c>
      <c r="S246" s="16"/>
      <c r="T246" s="80" t="str">
        <f>IF(S246="","",VLOOKUP(S246,VALORACION!F:G,2,FALSE))</f>
        <v/>
      </c>
      <c r="U246" s="11"/>
      <c r="V246" s="80" t="str">
        <f>IF(U246="","",VLOOKUP(U246,ROLES!G:H,2,FALSE))</f>
        <v/>
      </c>
      <c r="W246" s="11"/>
      <c r="X246" s="80" t="str">
        <f>IF(W246="","",VLOOKUP(W246,ROLES!I:J,2,FALSE))</f>
        <v/>
      </c>
      <c r="Y246" s="95" t="e">
        <f t="shared" si="7"/>
        <v>#VALUE!</v>
      </c>
      <c r="Z246" s="6"/>
      <c r="AA246" s="6"/>
    </row>
    <row r="247" spans="1:27" ht="28.95" customHeight="1" x14ac:dyDescent="0.3">
      <c r="A247" s="91"/>
      <c r="B247" s="91"/>
      <c r="C247" s="80"/>
      <c r="D247" s="91"/>
      <c r="E247" s="80"/>
      <c r="F247" s="6"/>
      <c r="G247" s="6"/>
      <c r="H247" s="25"/>
      <c r="I247" s="133"/>
      <c r="J247" s="6"/>
      <c r="K247" s="6"/>
      <c r="L247" s="6"/>
      <c r="M247" s="6"/>
      <c r="N247" s="84"/>
      <c r="O247" s="80" t="str">
        <f>IF(N247="","",VLOOKUP(N247,ROLES!B:C,2,FALSE))</f>
        <v/>
      </c>
      <c r="P247" s="15"/>
      <c r="Q247" s="15"/>
      <c r="R247" s="16">
        <f t="shared" si="8"/>
        <v>0</v>
      </c>
      <c r="S247" s="16"/>
      <c r="T247" s="80" t="str">
        <f>IF(S247="","",VLOOKUP(S247,VALORACION!F:G,2,FALSE))</f>
        <v/>
      </c>
      <c r="U247" s="11"/>
      <c r="V247" s="80" t="str">
        <f>IF(U247="","",VLOOKUP(U247,ROLES!G:H,2,FALSE))</f>
        <v/>
      </c>
      <c r="W247" s="11"/>
      <c r="X247" s="80" t="str">
        <f>IF(W247="","",VLOOKUP(W247,ROLES!I:J,2,FALSE))</f>
        <v/>
      </c>
      <c r="Y247" s="95" t="e">
        <f t="shared" si="7"/>
        <v>#VALUE!</v>
      </c>
      <c r="Z247" s="6"/>
      <c r="AA247" s="6"/>
    </row>
    <row r="248" spans="1:27" ht="28.95" customHeight="1" x14ac:dyDescent="0.3">
      <c r="A248" s="91"/>
      <c r="B248" s="91"/>
      <c r="C248" s="80"/>
      <c r="D248" s="91"/>
      <c r="E248" s="80"/>
      <c r="F248" s="6"/>
      <c r="G248" s="6"/>
      <c r="H248" s="25"/>
      <c r="I248" s="133"/>
      <c r="J248" s="6"/>
      <c r="K248" s="6"/>
      <c r="L248" s="6"/>
      <c r="M248" s="6"/>
      <c r="N248" s="84"/>
      <c r="O248" s="80" t="str">
        <f>IF(N248="","",VLOOKUP(N248,ROLES!B:C,2,FALSE))</f>
        <v/>
      </c>
      <c r="P248" s="15"/>
      <c r="Q248" s="15"/>
      <c r="R248" s="16">
        <f t="shared" si="8"/>
        <v>0</v>
      </c>
      <c r="S248" s="16"/>
      <c r="T248" s="80" t="str">
        <f>IF(S248="","",VLOOKUP(S248,VALORACION!F:G,2,FALSE))</f>
        <v/>
      </c>
      <c r="U248" s="11"/>
      <c r="V248" s="80" t="str">
        <f>IF(U248="","",VLOOKUP(U248,ROLES!G:H,2,FALSE))</f>
        <v/>
      </c>
      <c r="W248" s="11"/>
      <c r="X248" s="80" t="str">
        <f>IF(W248="","",VLOOKUP(W248,ROLES!I:J,2,FALSE))</f>
        <v/>
      </c>
      <c r="Y248" s="95" t="e">
        <f t="shared" si="7"/>
        <v>#VALUE!</v>
      </c>
      <c r="Z248" s="6"/>
      <c r="AA248" s="6"/>
    </row>
    <row r="249" spans="1:27" ht="28.95" customHeight="1" x14ac:dyDescent="0.3">
      <c r="A249" s="91"/>
      <c r="B249" s="91"/>
      <c r="C249" s="80"/>
      <c r="D249" s="91"/>
      <c r="E249" s="80"/>
      <c r="F249" s="6"/>
      <c r="G249" s="6"/>
      <c r="H249" s="25"/>
      <c r="I249" s="133"/>
      <c r="J249" s="6"/>
      <c r="K249" s="6"/>
      <c r="L249" s="6"/>
      <c r="M249" s="6"/>
      <c r="N249" s="84"/>
      <c r="O249" s="80" t="str">
        <f>IF(N249="","",VLOOKUP(N249,ROLES!B:C,2,FALSE))</f>
        <v/>
      </c>
      <c r="P249" s="15"/>
      <c r="Q249" s="15"/>
      <c r="R249" s="16">
        <f t="shared" si="8"/>
        <v>0</v>
      </c>
      <c r="S249" s="16"/>
      <c r="T249" s="80" t="str">
        <f>IF(S249="","",VLOOKUP(S249,VALORACION!F:G,2,FALSE))</f>
        <v/>
      </c>
      <c r="U249" s="11"/>
      <c r="V249" s="80" t="str">
        <f>IF(U249="","",VLOOKUP(U249,ROLES!G:H,2,FALSE))</f>
        <v/>
      </c>
      <c r="W249" s="11"/>
      <c r="X249" s="80" t="str">
        <f>IF(W249="","",VLOOKUP(W249,ROLES!I:J,2,FALSE))</f>
        <v/>
      </c>
      <c r="Y249" s="95" t="e">
        <f t="shared" si="7"/>
        <v>#VALUE!</v>
      </c>
      <c r="Z249" s="6"/>
      <c r="AA249" s="6"/>
    </row>
    <row r="250" spans="1:27" ht="28.95" customHeight="1" x14ac:dyDescent="0.3">
      <c r="A250" s="91"/>
      <c r="B250" s="91"/>
      <c r="C250" s="80"/>
      <c r="D250" s="91"/>
      <c r="E250" s="80"/>
      <c r="F250" s="6"/>
      <c r="G250" s="6"/>
      <c r="H250" s="25"/>
      <c r="I250" s="133"/>
      <c r="J250" s="6"/>
      <c r="K250" s="6"/>
      <c r="L250" s="6"/>
      <c r="M250" s="6"/>
      <c r="N250" s="84"/>
      <c r="O250" s="80" t="str">
        <f>IF(N250="","",VLOOKUP(N250,ROLES!B:C,2,FALSE))</f>
        <v/>
      </c>
      <c r="P250" s="15"/>
      <c r="Q250" s="15"/>
      <c r="R250" s="16">
        <f t="shared" si="8"/>
        <v>0</v>
      </c>
      <c r="S250" s="16"/>
      <c r="T250" s="80" t="str">
        <f>IF(S250="","",VLOOKUP(S250,VALORACION!F:G,2,FALSE))</f>
        <v/>
      </c>
      <c r="U250" s="11"/>
      <c r="V250" s="80" t="str">
        <f>IF(U250="","",VLOOKUP(U250,ROLES!G:H,2,FALSE))</f>
        <v/>
      </c>
      <c r="W250" s="11"/>
      <c r="X250" s="80" t="str">
        <f>IF(W250="","",VLOOKUP(W250,ROLES!I:J,2,FALSE))</f>
        <v/>
      </c>
      <c r="Y250" s="95" t="e">
        <f t="shared" si="7"/>
        <v>#VALUE!</v>
      </c>
      <c r="Z250" s="6"/>
      <c r="AA250" s="6"/>
    </row>
    <row r="251" spans="1:27" ht="28.95" customHeight="1" x14ac:dyDescent="0.3">
      <c r="A251" s="91"/>
      <c r="B251" s="91"/>
      <c r="C251" s="80"/>
      <c r="D251" s="91"/>
      <c r="E251" s="80"/>
      <c r="F251" s="6"/>
      <c r="G251" s="6"/>
      <c r="H251" s="25"/>
      <c r="I251" s="133"/>
      <c r="J251" s="6"/>
      <c r="K251" s="6"/>
      <c r="L251" s="6"/>
      <c r="M251" s="6"/>
      <c r="N251" s="84"/>
      <c r="O251" s="80" t="str">
        <f>IF(N251="","",VLOOKUP(N251,ROLES!B:C,2,FALSE))</f>
        <v/>
      </c>
      <c r="P251" s="15"/>
      <c r="Q251" s="15"/>
      <c r="R251" s="16">
        <f t="shared" si="8"/>
        <v>0</v>
      </c>
      <c r="S251" s="16"/>
      <c r="T251" s="80" t="str">
        <f>IF(S251="","",VLOOKUP(S251,VALORACION!F:G,2,FALSE))</f>
        <v/>
      </c>
      <c r="U251" s="11"/>
      <c r="V251" s="80" t="str">
        <f>IF(U251="","",VLOOKUP(U251,ROLES!G:H,2,FALSE))</f>
        <v/>
      </c>
      <c r="W251" s="11"/>
      <c r="X251" s="80" t="str">
        <f>IF(W251="","",VLOOKUP(W251,ROLES!I:J,2,FALSE))</f>
        <v/>
      </c>
      <c r="Y251" s="95" t="e">
        <f t="shared" si="7"/>
        <v>#VALUE!</v>
      </c>
      <c r="Z251" s="6"/>
      <c r="AA251" s="6"/>
    </row>
    <row r="252" spans="1:27" ht="28.95" customHeight="1" x14ac:dyDescent="0.3">
      <c r="A252" s="91"/>
      <c r="B252" s="91"/>
      <c r="C252" s="80"/>
      <c r="D252" s="91"/>
      <c r="E252" s="80"/>
      <c r="F252" s="6"/>
      <c r="G252" s="6"/>
      <c r="H252" s="25"/>
      <c r="I252" s="133"/>
      <c r="J252" s="6"/>
      <c r="K252" s="6"/>
      <c r="L252" s="6"/>
      <c r="M252" s="6"/>
      <c r="N252" s="84"/>
      <c r="O252" s="80" t="str">
        <f>IF(N252="","",VLOOKUP(N252,ROLES!B:C,2,FALSE))</f>
        <v/>
      </c>
      <c r="P252" s="15"/>
      <c r="Q252" s="15"/>
      <c r="R252" s="16">
        <f t="shared" si="8"/>
        <v>0</v>
      </c>
      <c r="S252" s="16"/>
      <c r="T252" s="80" t="str">
        <f>IF(S252="","",VLOOKUP(S252,VALORACION!F:G,2,FALSE))</f>
        <v/>
      </c>
      <c r="U252" s="11"/>
      <c r="V252" s="80" t="str">
        <f>IF(U252="","",VLOOKUP(U252,ROLES!G:H,2,FALSE))</f>
        <v/>
      </c>
      <c r="W252" s="11"/>
      <c r="X252" s="80" t="str">
        <f>IF(W252="","",VLOOKUP(W252,ROLES!I:J,2,FALSE))</f>
        <v/>
      </c>
      <c r="Y252" s="95" t="e">
        <f t="shared" si="7"/>
        <v>#VALUE!</v>
      </c>
      <c r="Z252" s="6"/>
      <c r="AA252" s="6"/>
    </row>
    <row r="253" spans="1:27" ht="28.95" customHeight="1" x14ac:dyDescent="0.3">
      <c r="A253" s="91"/>
      <c r="B253" s="91"/>
      <c r="C253" s="80"/>
      <c r="D253" s="91"/>
      <c r="E253" s="80"/>
      <c r="F253" s="6"/>
      <c r="G253" s="6"/>
      <c r="H253" s="25"/>
      <c r="I253" s="133"/>
      <c r="J253" s="6"/>
      <c r="K253" s="6"/>
      <c r="L253" s="6"/>
      <c r="M253" s="6"/>
      <c r="N253" s="84"/>
      <c r="O253" s="80" t="str">
        <f>IF(N253="","",VLOOKUP(N253,ROLES!B:C,2,FALSE))</f>
        <v/>
      </c>
      <c r="P253" s="15"/>
      <c r="Q253" s="15"/>
      <c r="R253" s="16">
        <f t="shared" si="8"/>
        <v>0</v>
      </c>
      <c r="S253" s="16"/>
      <c r="T253" s="80" t="str">
        <f>IF(S253="","",VLOOKUP(S253,VALORACION!F:G,2,FALSE))</f>
        <v/>
      </c>
      <c r="U253" s="11"/>
      <c r="V253" s="80" t="str">
        <f>IF(U253="","",VLOOKUP(U253,ROLES!G:H,2,FALSE))</f>
        <v/>
      </c>
      <c r="W253" s="11"/>
      <c r="X253" s="80" t="str">
        <f>IF(W253="","",VLOOKUP(W253,ROLES!I:J,2,FALSE))</f>
        <v/>
      </c>
      <c r="Y253" s="95" t="e">
        <f t="shared" si="7"/>
        <v>#VALUE!</v>
      </c>
      <c r="Z253" s="6"/>
      <c r="AA253" s="6"/>
    </row>
    <row r="254" spans="1:27" ht="28.95" customHeight="1" x14ac:dyDescent="0.3">
      <c r="A254" s="91"/>
      <c r="B254" s="91"/>
      <c r="C254" s="80"/>
      <c r="D254" s="91"/>
      <c r="E254" s="80"/>
      <c r="F254" s="6"/>
      <c r="G254" s="6"/>
      <c r="H254" s="25"/>
      <c r="I254" s="133"/>
      <c r="J254" s="6"/>
      <c r="K254" s="6"/>
      <c r="L254" s="6"/>
      <c r="M254" s="6"/>
      <c r="N254" s="84"/>
      <c r="O254" s="80" t="str">
        <f>IF(N254="","",VLOOKUP(N254,ROLES!B:C,2,FALSE))</f>
        <v/>
      </c>
      <c r="P254" s="15"/>
      <c r="Q254" s="15"/>
      <c r="R254" s="16">
        <f t="shared" si="8"/>
        <v>0</v>
      </c>
      <c r="S254" s="16"/>
      <c r="T254" s="80" t="str">
        <f>IF(S254="","",VLOOKUP(S254,VALORACION!F:G,2,FALSE))</f>
        <v/>
      </c>
      <c r="U254" s="11"/>
      <c r="V254" s="80" t="str">
        <f>IF(U254="","",VLOOKUP(U254,ROLES!G:H,2,FALSE))</f>
        <v/>
      </c>
      <c r="W254" s="11"/>
      <c r="X254" s="80" t="str">
        <f>IF(W254="","",VLOOKUP(W254,ROLES!I:J,2,FALSE))</f>
        <v/>
      </c>
      <c r="Y254" s="95" t="e">
        <f t="shared" si="7"/>
        <v>#VALUE!</v>
      </c>
      <c r="Z254" s="6"/>
      <c r="AA254" s="6"/>
    </row>
    <row r="255" spans="1:27" ht="28.95" customHeight="1" x14ac:dyDescent="0.3">
      <c r="A255" s="91"/>
      <c r="B255" s="91"/>
      <c r="C255" s="80"/>
      <c r="D255" s="91"/>
      <c r="E255" s="80"/>
      <c r="F255" s="6"/>
      <c r="G255" s="6"/>
      <c r="H255" s="25"/>
      <c r="I255" s="133"/>
      <c r="J255" s="6"/>
      <c r="K255" s="6"/>
      <c r="L255" s="6"/>
      <c r="M255" s="6"/>
      <c r="N255" s="84"/>
      <c r="O255" s="80" t="str">
        <f>IF(N255="","",VLOOKUP(N255,ROLES!B:C,2,FALSE))</f>
        <v/>
      </c>
      <c r="P255" s="15"/>
      <c r="Q255" s="15"/>
      <c r="R255" s="16">
        <f t="shared" si="8"/>
        <v>0</v>
      </c>
      <c r="S255" s="16"/>
      <c r="T255" s="80" t="str">
        <f>IF(S255="","",VLOOKUP(S255,VALORACION!F:G,2,FALSE))</f>
        <v/>
      </c>
      <c r="U255" s="11"/>
      <c r="V255" s="80" t="str">
        <f>IF(U255="","",VLOOKUP(U255,ROLES!G:H,2,FALSE))</f>
        <v/>
      </c>
      <c r="W255" s="11"/>
      <c r="X255" s="80" t="str">
        <f>IF(W255="","",VLOOKUP(W255,ROLES!I:J,2,FALSE))</f>
        <v/>
      </c>
      <c r="Y255" s="95" t="e">
        <f t="shared" si="7"/>
        <v>#VALUE!</v>
      </c>
      <c r="Z255" s="6"/>
      <c r="AA255" s="6"/>
    </row>
    <row r="256" spans="1:27" ht="28.95" customHeight="1" x14ac:dyDescent="0.3">
      <c r="A256" s="91"/>
      <c r="B256" s="91"/>
      <c r="C256" s="80"/>
      <c r="D256" s="91"/>
      <c r="E256" s="80"/>
      <c r="F256" s="6"/>
      <c r="G256" s="6"/>
      <c r="H256" s="25"/>
      <c r="I256" s="133"/>
      <c r="J256" s="6"/>
      <c r="K256" s="6"/>
      <c r="L256" s="6"/>
      <c r="M256" s="6"/>
      <c r="N256" s="84"/>
      <c r="O256" s="80" t="str">
        <f>IF(N256="","",VLOOKUP(N256,ROLES!B:C,2,FALSE))</f>
        <v/>
      </c>
      <c r="P256" s="15"/>
      <c r="Q256" s="15"/>
      <c r="R256" s="16">
        <f t="shared" si="8"/>
        <v>0</v>
      </c>
      <c r="S256" s="16"/>
      <c r="T256" s="80" t="str">
        <f>IF(S256="","",VLOOKUP(S256,VALORACION!F:G,2,FALSE))</f>
        <v/>
      </c>
      <c r="U256" s="11"/>
      <c r="V256" s="80" t="str">
        <f>IF(U256="","",VLOOKUP(U256,ROLES!G:H,2,FALSE))</f>
        <v/>
      </c>
      <c r="W256" s="11"/>
      <c r="X256" s="80" t="str">
        <f>IF(W256="","",VLOOKUP(W256,ROLES!I:J,2,FALSE))</f>
        <v/>
      </c>
      <c r="Y256" s="95" t="e">
        <f t="shared" si="7"/>
        <v>#VALUE!</v>
      </c>
      <c r="Z256" s="6"/>
      <c r="AA256" s="6"/>
    </row>
    <row r="257" spans="1:27" ht="28.95" customHeight="1" x14ac:dyDescent="0.3">
      <c r="A257" s="91"/>
      <c r="B257" s="91"/>
      <c r="C257" s="80"/>
      <c r="D257" s="91"/>
      <c r="E257" s="80"/>
      <c r="F257" s="6"/>
      <c r="G257" s="6"/>
      <c r="H257" s="25"/>
      <c r="I257" s="133"/>
      <c r="J257" s="6"/>
      <c r="K257" s="6"/>
      <c r="L257" s="6"/>
      <c r="M257" s="6"/>
      <c r="N257" s="84"/>
      <c r="O257" s="80" t="str">
        <f>IF(N257="","",VLOOKUP(N257,ROLES!B:C,2,FALSE))</f>
        <v/>
      </c>
      <c r="P257" s="15"/>
      <c r="Q257" s="15"/>
      <c r="R257" s="16">
        <f t="shared" si="8"/>
        <v>0</v>
      </c>
      <c r="S257" s="16"/>
      <c r="T257" s="80" t="str">
        <f>IF(S257="","",VLOOKUP(S257,VALORACION!F:G,2,FALSE))</f>
        <v/>
      </c>
      <c r="U257" s="11"/>
      <c r="V257" s="80" t="str">
        <f>IF(U257="","",VLOOKUP(U257,ROLES!G:H,2,FALSE))</f>
        <v/>
      </c>
      <c r="W257" s="11"/>
      <c r="X257" s="80" t="str">
        <f>IF(W257="","",VLOOKUP(W257,ROLES!I:J,2,FALSE))</f>
        <v/>
      </c>
      <c r="Y257" s="95" t="e">
        <f t="shared" si="7"/>
        <v>#VALUE!</v>
      </c>
      <c r="Z257" s="6"/>
      <c r="AA257" s="6"/>
    </row>
    <row r="258" spans="1:27" ht="28.95" customHeight="1" x14ac:dyDescent="0.3">
      <c r="A258" s="91"/>
      <c r="B258" s="91"/>
      <c r="C258" s="80"/>
      <c r="D258" s="91"/>
      <c r="E258" s="80"/>
      <c r="F258" s="6"/>
      <c r="G258" s="6"/>
      <c r="H258" s="25"/>
      <c r="I258" s="133"/>
      <c r="J258" s="6"/>
      <c r="K258" s="6"/>
      <c r="L258" s="6"/>
      <c r="M258" s="6"/>
      <c r="N258" s="84"/>
      <c r="O258" s="80" t="str">
        <f>IF(N258="","",VLOOKUP(N258,ROLES!B:C,2,FALSE))</f>
        <v/>
      </c>
      <c r="P258" s="15"/>
      <c r="Q258" s="15"/>
      <c r="R258" s="16">
        <f t="shared" si="8"/>
        <v>0</v>
      </c>
      <c r="S258" s="16"/>
      <c r="T258" s="80" t="str">
        <f>IF(S258="","",VLOOKUP(S258,VALORACION!F:G,2,FALSE))</f>
        <v/>
      </c>
      <c r="U258" s="11"/>
      <c r="V258" s="80" t="str">
        <f>IF(U258="","",VLOOKUP(U258,ROLES!G:H,2,FALSE))</f>
        <v/>
      </c>
      <c r="W258" s="11"/>
      <c r="X258" s="80" t="str">
        <f>IF(W258="","",VLOOKUP(W258,ROLES!I:J,2,FALSE))</f>
        <v/>
      </c>
      <c r="Y258" s="95" t="e">
        <f t="shared" si="7"/>
        <v>#VALUE!</v>
      </c>
      <c r="Z258" s="6"/>
      <c r="AA258" s="6"/>
    </row>
    <row r="259" spans="1:27" ht="28.95" customHeight="1" x14ac:dyDescent="0.3">
      <c r="A259" s="91"/>
      <c r="B259" s="91"/>
      <c r="C259" s="80"/>
      <c r="D259" s="91"/>
      <c r="E259" s="80"/>
      <c r="F259" s="6"/>
      <c r="G259" s="6"/>
      <c r="H259" s="25"/>
      <c r="I259" s="133"/>
      <c r="J259" s="6"/>
      <c r="K259" s="6"/>
      <c r="L259" s="6"/>
      <c r="M259" s="6"/>
      <c r="N259" s="84"/>
      <c r="O259" s="80" t="str">
        <f>IF(N259="","",VLOOKUP(N259,ROLES!B:C,2,FALSE))</f>
        <v/>
      </c>
      <c r="P259" s="15"/>
      <c r="Q259" s="15"/>
      <c r="R259" s="16">
        <f t="shared" si="8"/>
        <v>0</v>
      </c>
      <c r="S259" s="16"/>
      <c r="T259" s="80" t="str">
        <f>IF(S259="","",VLOOKUP(S259,VALORACION!F:G,2,FALSE))</f>
        <v/>
      </c>
      <c r="U259" s="11"/>
      <c r="V259" s="80" t="str">
        <f>IF(U259="","",VLOOKUP(U259,ROLES!G:H,2,FALSE))</f>
        <v/>
      </c>
      <c r="W259" s="11"/>
      <c r="X259" s="80" t="str">
        <f>IF(W259="","",VLOOKUP(W259,ROLES!I:J,2,FALSE))</f>
        <v/>
      </c>
      <c r="Y259" s="95" t="e">
        <f t="shared" si="7"/>
        <v>#VALUE!</v>
      </c>
      <c r="Z259" s="6"/>
      <c r="AA259" s="6"/>
    </row>
    <row r="260" spans="1:27" ht="28.95" customHeight="1" x14ac:dyDescent="0.3">
      <c r="A260" s="91"/>
      <c r="B260" s="91"/>
      <c r="C260" s="80"/>
      <c r="D260" s="91"/>
      <c r="E260" s="80"/>
      <c r="F260" s="6"/>
      <c r="G260" s="6"/>
      <c r="H260" s="25"/>
      <c r="I260" s="133"/>
      <c r="J260" s="6"/>
      <c r="K260" s="6"/>
      <c r="L260" s="6"/>
      <c r="M260" s="6"/>
      <c r="N260" s="84"/>
      <c r="O260" s="80" t="str">
        <f>IF(N260="","",VLOOKUP(N260,ROLES!B:C,2,FALSE))</f>
        <v/>
      </c>
      <c r="P260" s="15"/>
      <c r="Q260" s="15"/>
      <c r="R260" s="16">
        <f t="shared" si="8"/>
        <v>0</v>
      </c>
      <c r="S260" s="16"/>
      <c r="T260" s="80" t="str">
        <f>IF(S260="","",VLOOKUP(S260,VALORACION!F:G,2,FALSE))</f>
        <v/>
      </c>
      <c r="U260" s="11"/>
      <c r="V260" s="80" t="str">
        <f>IF(U260="","",VLOOKUP(U260,ROLES!G:H,2,FALSE))</f>
        <v/>
      </c>
      <c r="W260" s="11"/>
      <c r="X260" s="80" t="str">
        <f>IF(W260="","",VLOOKUP(W260,ROLES!I:J,2,FALSE))</f>
        <v/>
      </c>
      <c r="Y260" s="95" t="e">
        <f t="shared" si="7"/>
        <v>#VALUE!</v>
      </c>
      <c r="Z260" s="6"/>
      <c r="AA260" s="6"/>
    </row>
    <row r="261" spans="1:27" ht="28.95" customHeight="1" x14ac:dyDescent="0.3">
      <c r="A261" s="91"/>
      <c r="B261" s="91"/>
      <c r="C261" s="80"/>
      <c r="D261" s="91"/>
      <c r="E261" s="80"/>
      <c r="F261" s="6"/>
      <c r="G261" s="6"/>
      <c r="H261" s="25"/>
      <c r="I261" s="133"/>
      <c r="J261" s="6"/>
      <c r="K261" s="6"/>
      <c r="L261" s="6"/>
      <c r="M261" s="6"/>
      <c r="N261" s="84"/>
      <c r="O261" s="80" t="str">
        <f>IF(N261="","",VLOOKUP(N261,ROLES!B:C,2,FALSE))</f>
        <v/>
      </c>
      <c r="P261" s="15"/>
      <c r="Q261" s="15"/>
      <c r="R261" s="16">
        <f t="shared" si="8"/>
        <v>0</v>
      </c>
      <c r="S261" s="16"/>
      <c r="T261" s="80" t="str">
        <f>IF(S261="","",VLOOKUP(S261,VALORACION!F:G,2,FALSE))</f>
        <v/>
      </c>
      <c r="U261" s="11"/>
      <c r="V261" s="80" t="str">
        <f>IF(U261="","",VLOOKUP(U261,ROLES!G:H,2,FALSE))</f>
        <v/>
      </c>
      <c r="W261" s="11"/>
      <c r="X261" s="80" t="str">
        <f>IF(W261="","",VLOOKUP(W261,ROLES!I:J,2,FALSE))</f>
        <v/>
      </c>
      <c r="Y261" s="95" t="e">
        <f t="shared" ref="Y261:Y324" si="9">(VALUE(O261)+VALUE(V261)+VALUE(X261)+VALUE(T261))/3</f>
        <v>#VALUE!</v>
      </c>
      <c r="Z261" s="6"/>
      <c r="AA261" s="6"/>
    </row>
    <row r="262" spans="1:27" ht="28.95" customHeight="1" x14ac:dyDescent="0.3">
      <c r="A262" s="91"/>
      <c r="B262" s="91"/>
      <c r="C262" s="80"/>
      <c r="D262" s="91"/>
      <c r="E262" s="80"/>
      <c r="F262" s="6"/>
      <c r="G262" s="6"/>
      <c r="H262" s="25"/>
      <c r="I262" s="133"/>
      <c r="J262" s="6"/>
      <c r="K262" s="6"/>
      <c r="L262" s="6"/>
      <c r="M262" s="6"/>
      <c r="N262" s="84"/>
      <c r="O262" s="80" t="str">
        <f>IF(N262="","",VLOOKUP(N262,ROLES!B:C,2,FALSE))</f>
        <v/>
      </c>
      <c r="P262" s="15"/>
      <c r="Q262" s="15"/>
      <c r="R262" s="16">
        <f t="shared" si="8"/>
        <v>0</v>
      </c>
      <c r="S262" s="16"/>
      <c r="T262" s="80" t="str">
        <f>IF(S262="","",VLOOKUP(S262,VALORACION!F:G,2,FALSE))</f>
        <v/>
      </c>
      <c r="U262" s="11"/>
      <c r="V262" s="80" t="str">
        <f>IF(U262="","",VLOOKUP(U262,ROLES!G:H,2,FALSE))</f>
        <v/>
      </c>
      <c r="W262" s="11"/>
      <c r="X262" s="80" t="str">
        <f>IF(W262="","",VLOOKUP(W262,ROLES!I:J,2,FALSE))</f>
        <v/>
      </c>
      <c r="Y262" s="95" t="e">
        <f t="shared" si="9"/>
        <v>#VALUE!</v>
      </c>
      <c r="Z262" s="6"/>
      <c r="AA262" s="6"/>
    </row>
    <row r="263" spans="1:27" ht="28.95" customHeight="1" x14ac:dyDescent="0.3">
      <c r="A263" s="91"/>
      <c r="B263" s="91"/>
      <c r="C263" s="80"/>
      <c r="D263" s="91"/>
      <c r="E263" s="80"/>
      <c r="F263" s="6"/>
      <c r="G263" s="6"/>
      <c r="H263" s="25"/>
      <c r="I263" s="133"/>
      <c r="J263" s="6"/>
      <c r="K263" s="6"/>
      <c r="L263" s="6"/>
      <c r="M263" s="6"/>
      <c r="N263" s="84"/>
      <c r="O263" s="80" t="str">
        <f>IF(N263="","",VLOOKUP(N263,ROLES!B:C,2,FALSE))</f>
        <v/>
      </c>
      <c r="P263" s="15"/>
      <c r="Q263" s="15"/>
      <c r="R263" s="16">
        <f t="shared" ref="R263:R326" si="10">DATEDIF(P263,Q263,"m")</f>
        <v>0</v>
      </c>
      <c r="S263" s="16"/>
      <c r="T263" s="80" t="str">
        <f>IF(S263="","",VLOOKUP(S263,VALORACION!F:G,2,FALSE))</f>
        <v/>
      </c>
      <c r="U263" s="11"/>
      <c r="V263" s="80" t="str">
        <f>IF(U263="","",VLOOKUP(U263,ROLES!G:H,2,FALSE))</f>
        <v/>
      </c>
      <c r="W263" s="11"/>
      <c r="X263" s="80" t="str">
        <f>IF(W263="","",VLOOKUP(W263,ROLES!I:J,2,FALSE))</f>
        <v/>
      </c>
      <c r="Y263" s="95" t="e">
        <f t="shared" si="9"/>
        <v>#VALUE!</v>
      </c>
      <c r="Z263" s="6"/>
      <c r="AA263" s="6"/>
    </row>
    <row r="264" spans="1:27" ht="28.95" customHeight="1" x14ac:dyDescent="0.3">
      <c r="A264" s="91"/>
      <c r="B264" s="91"/>
      <c r="C264" s="80"/>
      <c r="D264" s="91"/>
      <c r="E264" s="80"/>
      <c r="F264" s="6"/>
      <c r="G264" s="6"/>
      <c r="H264" s="25"/>
      <c r="I264" s="133"/>
      <c r="J264" s="6"/>
      <c r="K264" s="6"/>
      <c r="L264" s="6"/>
      <c r="M264" s="6"/>
      <c r="N264" s="84"/>
      <c r="O264" s="80" t="str">
        <f>IF(N264="","",VLOOKUP(N264,ROLES!B:C,2,FALSE))</f>
        <v/>
      </c>
      <c r="P264" s="15"/>
      <c r="Q264" s="15"/>
      <c r="R264" s="16">
        <f t="shared" si="10"/>
        <v>0</v>
      </c>
      <c r="S264" s="16"/>
      <c r="T264" s="80" t="str">
        <f>IF(S264="","",VLOOKUP(S264,VALORACION!F:G,2,FALSE))</f>
        <v/>
      </c>
      <c r="U264" s="11"/>
      <c r="V264" s="80" t="str">
        <f>IF(U264="","",VLOOKUP(U264,ROLES!G:H,2,FALSE))</f>
        <v/>
      </c>
      <c r="W264" s="11"/>
      <c r="X264" s="80" t="str">
        <f>IF(W264="","",VLOOKUP(W264,ROLES!I:J,2,FALSE))</f>
        <v/>
      </c>
      <c r="Y264" s="95" t="e">
        <f t="shared" si="9"/>
        <v>#VALUE!</v>
      </c>
      <c r="Z264" s="6"/>
      <c r="AA264" s="6"/>
    </row>
    <row r="265" spans="1:27" ht="28.95" customHeight="1" x14ac:dyDescent="0.3">
      <c r="A265" s="91"/>
      <c r="B265" s="91"/>
      <c r="C265" s="80"/>
      <c r="D265" s="91"/>
      <c r="E265" s="80"/>
      <c r="F265" s="6"/>
      <c r="G265" s="6"/>
      <c r="H265" s="25"/>
      <c r="I265" s="133"/>
      <c r="J265" s="6"/>
      <c r="K265" s="6"/>
      <c r="L265" s="6"/>
      <c r="M265" s="6"/>
      <c r="N265" s="84"/>
      <c r="O265" s="80" t="str">
        <f>IF(N265="","",VLOOKUP(N265,ROLES!B:C,2,FALSE))</f>
        <v/>
      </c>
      <c r="P265" s="15"/>
      <c r="Q265" s="15"/>
      <c r="R265" s="16">
        <f t="shared" si="10"/>
        <v>0</v>
      </c>
      <c r="S265" s="16"/>
      <c r="T265" s="80" t="str">
        <f>IF(S265="","",VLOOKUP(S265,VALORACION!F:G,2,FALSE))</f>
        <v/>
      </c>
      <c r="U265" s="11"/>
      <c r="V265" s="80" t="str">
        <f>IF(U265="","",VLOOKUP(U265,ROLES!G:H,2,FALSE))</f>
        <v/>
      </c>
      <c r="W265" s="11"/>
      <c r="X265" s="80" t="str">
        <f>IF(W265="","",VLOOKUP(W265,ROLES!I:J,2,FALSE))</f>
        <v/>
      </c>
      <c r="Y265" s="95" t="e">
        <f t="shared" si="9"/>
        <v>#VALUE!</v>
      </c>
      <c r="Z265" s="6"/>
      <c r="AA265" s="6"/>
    </row>
    <row r="266" spans="1:27" ht="28.95" customHeight="1" x14ac:dyDescent="0.3">
      <c r="A266" s="91"/>
      <c r="B266" s="91"/>
      <c r="C266" s="80"/>
      <c r="D266" s="91"/>
      <c r="E266" s="80"/>
      <c r="F266" s="6"/>
      <c r="G266" s="6"/>
      <c r="H266" s="25"/>
      <c r="I266" s="133"/>
      <c r="J266" s="6"/>
      <c r="K266" s="6"/>
      <c r="L266" s="6"/>
      <c r="M266" s="6"/>
      <c r="N266" s="84"/>
      <c r="O266" s="80" t="str">
        <f>IF(N266="","",VLOOKUP(N266,ROLES!B:C,2,FALSE))</f>
        <v/>
      </c>
      <c r="P266" s="15"/>
      <c r="Q266" s="15"/>
      <c r="R266" s="16">
        <f t="shared" si="10"/>
        <v>0</v>
      </c>
      <c r="S266" s="16"/>
      <c r="T266" s="80" t="str">
        <f>IF(S266="","",VLOOKUP(S266,VALORACION!F:G,2,FALSE))</f>
        <v/>
      </c>
      <c r="U266" s="11"/>
      <c r="V266" s="80" t="str">
        <f>IF(U266="","",VLOOKUP(U266,ROLES!G:H,2,FALSE))</f>
        <v/>
      </c>
      <c r="W266" s="11"/>
      <c r="X266" s="80" t="str">
        <f>IF(W266="","",VLOOKUP(W266,ROLES!I:J,2,FALSE))</f>
        <v/>
      </c>
      <c r="Y266" s="95" t="e">
        <f t="shared" si="9"/>
        <v>#VALUE!</v>
      </c>
      <c r="Z266" s="6"/>
      <c r="AA266" s="6"/>
    </row>
    <row r="267" spans="1:27" ht="28.95" customHeight="1" x14ac:dyDescent="0.3">
      <c r="A267" s="91"/>
      <c r="B267" s="91"/>
      <c r="C267" s="80"/>
      <c r="D267" s="91"/>
      <c r="E267" s="80"/>
      <c r="F267" s="6"/>
      <c r="G267" s="6"/>
      <c r="H267" s="25"/>
      <c r="I267" s="133"/>
      <c r="J267" s="6"/>
      <c r="K267" s="6"/>
      <c r="L267" s="6"/>
      <c r="M267" s="6"/>
      <c r="N267" s="84"/>
      <c r="O267" s="80" t="str">
        <f>IF(N267="","",VLOOKUP(N267,ROLES!B:C,2,FALSE))</f>
        <v/>
      </c>
      <c r="P267" s="15"/>
      <c r="Q267" s="15"/>
      <c r="R267" s="16">
        <f t="shared" si="10"/>
        <v>0</v>
      </c>
      <c r="S267" s="16"/>
      <c r="T267" s="80" t="str">
        <f>IF(S267="","",VLOOKUP(S267,VALORACION!F:G,2,FALSE))</f>
        <v/>
      </c>
      <c r="U267" s="11"/>
      <c r="V267" s="80" t="str">
        <f>IF(U267="","",VLOOKUP(U267,ROLES!G:H,2,FALSE))</f>
        <v/>
      </c>
      <c r="W267" s="11"/>
      <c r="X267" s="80" t="str">
        <f>IF(W267="","",VLOOKUP(W267,ROLES!I:J,2,FALSE))</f>
        <v/>
      </c>
      <c r="Y267" s="95" t="e">
        <f t="shared" si="9"/>
        <v>#VALUE!</v>
      </c>
      <c r="Z267" s="6"/>
      <c r="AA267" s="6"/>
    </row>
    <row r="268" spans="1:27" ht="28.95" customHeight="1" x14ac:dyDescent="0.3">
      <c r="A268" s="91"/>
      <c r="B268" s="91"/>
      <c r="C268" s="80"/>
      <c r="D268" s="91"/>
      <c r="E268" s="80"/>
      <c r="F268" s="6"/>
      <c r="G268" s="6"/>
      <c r="H268" s="25"/>
      <c r="I268" s="133"/>
      <c r="J268" s="6"/>
      <c r="K268" s="6"/>
      <c r="L268" s="6"/>
      <c r="M268" s="6"/>
      <c r="N268" s="84"/>
      <c r="O268" s="80" t="str">
        <f>IF(N268="","",VLOOKUP(N268,ROLES!B:C,2,FALSE))</f>
        <v/>
      </c>
      <c r="P268" s="15"/>
      <c r="Q268" s="15"/>
      <c r="R268" s="16">
        <f t="shared" si="10"/>
        <v>0</v>
      </c>
      <c r="S268" s="16"/>
      <c r="T268" s="80" t="str">
        <f>IF(S268="","",VLOOKUP(S268,VALORACION!F:G,2,FALSE))</f>
        <v/>
      </c>
      <c r="U268" s="11"/>
      <c r="V268" s="80" t="str">
        <f>IF(U268="","",VLOOKUP(U268,ROLES!G:H,2,FALSE))</f>
        <v/>
      </c>
      <c r="W268" s="11"/>
      <c r="X268" s="80" t="str">
        <f>IF(W268="","",VLOOKUP(W268,ROLES!I:J,2,FALSE))</f>
        <v/>
      </c>
      <c r="Y268" s="95" t="e">
        <f t="shared" si="9"/>
        <v>#VALUE!</v>
      </c>
      <c r="Z268" s="6"/>
      <c r="AA268" s="6"/>
    </row>
    <row r="269" spans="1:27" ht="28.95" customHeight="1" x14ac:dyDescent="0.3">
      <c r="A269" s="91"/>
      <c r="B269" s="91"/>
      <c r="C269" s="80"/>
      <c r="D269" s="91"/>
      <c r="E269" s="80"/>
      <c r="F269" s="6"/>
      <c r="G269" s="6"/>
      <c r="H269" s="25"/>
      <c r="I269" s="133"/>
      <c r="J269" s="6"/>
      <c r="K269" s="6"/>
      <c r="L269" s="6"/>
      <c r="M269" s="6"/>
      <c r="N269" s="84"/>
      <c r="O269" s="80" t="str">
        <f>IF(N269="","",VLOOKUP(N269,ROLES!B:C,2,FALSE))</f>
        <v/>
      </c>
      <c r="P269" s="15"/>
      <c r="Q269" s="15"/>
      <c r="R269" s="16">
        <f t="shared" si="10"/>
        <v>0</v>
      </c>
      <c r="S269" s="16"/>
      <c r="T269" s="80" t="str">
        <f>IF(S269="","",VLOOKUP(S269,VALORACION!F:G,2,FALSE))</f>
        <v/>
      </c>
      <c r="U269" s="11"/>
      <c r="V269" s="80" t="str">
        <f>IF(U269="","",VLOOKUP(U269,ROLES!G:H,2,FALSE))</f>
        <v/>
      </c>
      <c r="W269" s="11"/>
      <c r="X269" s="80" t="str">
        <f>IF(W269="","",VLOOKUP(W269,ROLES!I:J,2,FALSE))</f>
        <v/>
      </c>
      <c r="Y269" s="95" t="e">
        <f t="shared" si="9"/>
        <v>#VALUE!</v>
      </c>
      <c r="Z269" s="6"/>
      <c r="AA269" s="6"/>
    </row>
    <row r="270" spans="1:27" ht="28.95" customHeight="1" x14ac:dyDescent="0.3">
      <c r="A270" s="91"/>
      <c r="B270" s="91"/>
      <c r="C270" s="80"/>
      <c r="D270" s="91"/>
      <c r="E270" s="80"/>
      <c r="F270" s="6"/>
      <c r="G270" s="6"/>
      <c r="H270" s="25"/>
      <c r="I270" s="133"/>
      <c r="J270" s="6"/>
      <c r="K270" s="6"/>
      <c r="L270" s="6"/>
      <c r="M270" s="6"/>
      <c r="N270" s="84"/>
      <c r="O270" s="80" t="str">
        <f>IF(N270="","",VLOOKUP(N270,ROLES!B:C,2,FALSE))</f>
        <v/>
      </c>
      <c r="P270" s="15"/>
      <c r="Q270" s="15"/>
      <c r="R270" s="16">
        <f t="shared" si="10"/>
        <v>0</v>
      </c>
      <c r="S270" s="16"/>
      <c r="T270" s="80" t="str">
        <f>IF(S270="","",VLOOKUP(S270,VALORACION!F:G,2,FALSE))</f>
        <v/>
      </c>
      <c r="U270" s="11"/>
      <c r="V270" s="80" t="str">
        <f>IF(U270="","",VLOOKUP(U270,ROLES!G:H,2,FALSE))</f>
        <v/>
      </c>
      <c r="W270" s="11"/>
      <c r="X270" s="80" t="str">
        <f>IF(W270="","",VLOOKUP(W270,ROLES!I:J,2,FALSE))</f>
        <v/>
      </c>
      <c r="Y270" s="95" t="e">
        <f t="shared" si="9"/>
        <v>#VALUE!</v>
      </c>
      <c r="Z270" s="6"/>
      <c r="AA270" s="6"/>
    </row>
    <row r="271" spans="1:27" ht="28.95" customHeight="1" x14ac:dyDescent="0.3">
      <c r="A271" s="91"/>
      <c r="B271" s="91"/>
      <c r="C271" s="80"/>
      <c r="D271" s="91"/>
      <c r="E271" s="80"/>
      <c r="F271" s="6"/>
      <c r="G271" s="6"/>
      <c r="H271" s="25"/>
      <c r="I271" s="133"/>
      <c r="J271" s="6"/>
      <c r="K271" s="6"/>
      <c r="L271" s="6"/>
      <c r="M271" s="6"/>
      <c r="N271" s="84"/>
      <c r="O271" s="80" t="str">
        <f>IF(N271="","",VLOOKUP(N271,ROLES!B:C,2,FALSE))</f>
        <v/>
      </c>
      <c r="P271" s="15"/>
      <c r="Q271" s="15"/>
      <c r="R271" s="16">
        <f t="shared" si="10"/>
        <v>0</v>
      </c>
      <c r="S271" s="16"/>
      <c r="T271" s="80" t="str">
        <f>IF(S271="","",VLOOKUP(S271,VALORACION!F:G,2,FALSE))</f>
        <v/>
      </c>
      <c r="U271" s="11"/>
      <c r="V271" s="80" t="str">
        <f>IF(U271="","",VLOOKUP(U271,ROLES!G:H,2,FALSE))</f>
        <v/>
      </c>
      <c r="W271" s="11"/>
      <c r="X271" s="80" t="str">
        <f>IF(W271="","",VLOOKUP(W271,ROLES!I:J,2,FALSE))</f>
        <v/>
      </c>
      <c r="Y271" s="95" t="e">
        <f t="shared" si="9"/>
        <v>#VALUE!</v>
      </c>
      <c r="Z271" s="6"/>
      <c r="AA271" s="6"/>
    </row>
    <row r="272" spans="1:27" ht="28.95" customHeight="1" x14ac:dyDescent="0.3">
      <c r="A272" s="91"/>
      <c r="B272" s="91"/>
      <c r="C272" s="80"/>
      <c r="D272" s="91"/>
      <c r="E272" s="80"/>
      <c r="F272" s="6"/>
      <c r="G272" s="6"/>
      <c r="H272" s="25"/>
      <c r="I272" s="133"/>
      <c r="J272" s="6"/>
      <c r="K272" s="6"/>
      <c r="L272" s="6"/>
      <c r="M272" s="6"/>
      <c r="N272" s="84"/>
      <c r="O272" s="80" t="str">
        <f>IF(N272="","",VLOOKUP(N272,ROLES!B:C,2,FALSE))</f>
        <v/>
      </c>
      <c r="P272" s="15"/>
      <c r="Q272" s="15"/>
      <c r="R272" s="16">
        <f t="shared" si="10"/>
        <v>0</v>
      </c>
      <c r="S272" s="16"/>
      <c r="T272" s="80" t="str">
        <f>IF(S272="","",VLOOKUP(S272,VALORACION!F:G,2,FALSE))</f>
        <v/>
      </c>
      <c r="U272" s="11"/>
      <c r="V272" s="80" t="str">
        <f>IF(U272="","",VLOOKUP(U272,ROLES!G:H,2,FALSE))</f>
        <v/>
      </c>
      <c r="W272" s="11"/>
      <c r="X272" s="80" t="str">
        <f>IF(W272="","",VLOOKUP(W272,ROLES!I:J,2,FALSE))</f>
        <v/>
      </c>
      <c r="Y272" s="95" t="e">
        <f t="shared" si="9"/>
        <v>#VALUE!</v>
      </c>
      <c r="Z272" s="6"/>
      <c r="AA272" s="6"/>
    </row>
    <row r="273" spans="1:27" ht="28.95" customHeight="1" x14ac:dyDescent="0.3">
      <c r="A273" s="91"/>
      <c r="B273" s="91"/>
      <c r="C273" s="80"/>
      <c r="D273" s="91"/>
      <c r="E273" s="80"/>
      <c r="F273" s="6"/>
      <c r="G273" s="6"/>
      <c r="H273" s="25"/>
      <c r="I273" s="133"/>
      <c r="J273" s="6"/>
      <c r="K273" s="6"/>
      <c r="L273" s="6"/>
      <c r="M273" s="6"/>
      <c r="N273" s="84"/>
      <c r="O273" s="80" t="str">
        <f>IF(N273="","",VLOOKUP(N273,ROLES!B:C,2,FALSE))</f>
        <v/>
      </c>
      <c r="P273" s="15"/>
      <c r="Q273" s="15"/>
      <c r="R273" s="16">
        <f t="shared" si="10"/>
        <v>0</v>
      </c>
      <c r="S273" s="16"/>
      <c r="T273" s="80" t="str">
        <f>IF(S273="","",VLOOKUP(S273,VALORACION!F:G,2,FALSE))</f>
        <v/>
      </c>
      <c r="U273" s="11"/>
      <c r="V273" s="80" t="str">
        <f>IF(U273="","",VLOOKUP(U273,ROLES!G:H,2,FALSE))</f>
        <v/>
      </c>
      <c r="W273" s="11"/>
      <c r="X273" s="80" t="str">
        <f>IF(W273="","",VLOOKUP(W273,ROLES!I:J,2,FALSE))</f>
        <v/>
      </c>
      <c r="Y273" s="95" t="e">
        <f t="shared" si="9"/>
        <v>#VALUE!</v>
      </c>
      <c r="Z273" s="6"/>
      <c r="AA273" s="6"/>
    </row>
    <row r="274" spans="1:27" ht="28.95" customHeight="1" x14ac:dyDescent="0.3">
      <c r="A274" s="91"/>
      <c r="B274" s="91"/>
      <c r="C274" s="80"/>
      <c r="D274" s="91"/>
      <c r="E274" s="80"/>
      <c r="F274" s="6"/>
      <c r="G274" s="6"/>
      <c r="H274" s="25"/>
      <c r="I274" s="133"/>
      <c r="J274" s="6"/>
      <c r="K274" s="6"/>
      <c r="L274" s="6"/>
      <c r="M274" s="6"/>
      <c r="N274" s="84"/>
      <c r="O274" s="80" t="str">
        <f>IF(N274="","",VLOOKUP(N274,ROLES!B:C,2,FALSE))</f>
        <v/>
      </c>
      <c r="P274" s="15"/>
      <c r="Q274" s="15"/>
      <c r="R274" s="16">
        <f t="shared" si="10"/>
        <v>0</v>
      </c>
      <c r="S274" s="16"/>
      <c r="T274" s="80" t="str">
        <f>IF(S274="","",VLOOKUP(S274,VALORACION!F:G,2,FALSE))</f>
        <v/>
      </c>
      <c r="U274" s="11"/>
      <c r="V274" s="80" t="str">
        <f>IF(U274="","",VLOOKUP(U274,ROLES!G:H,2,FALSE))</f>
        <v/>
      </c>
      <c r="W274" s="11"/>
      <c r="X274" s="80" t="str">
        <f>IF(W274="","",VLOOKUP(W274,ROLES!I:J,2,FALSE))</f>
        <v/>
      </c>
      <c r="Y274" s="95" t="e">
        <f t="shared" si="9"/>
        <v>#VALUE!</v>
      </c>
      <c r="Z274" s="6"/>
      <c r="AA274" s="6"/>
    </row>
    <row r="275" spans="1:27" ht="28.95" customHeight="1" x14ac:dyDescent="0.3">
      <c r="A275" s="91"/>
      <c r="B275" s="91"/>
      <c r="C275" s="80"/>
      <c r="D275" s="91"/>
      <c r="E275" s="80"/>
      <c r="F275" s="6"/>
      <c r="G275" s="6"/>
      <c r="H275" s="25"/>
      <c r="I275" s="133"/>
      <c r="J275" s="6"/>
      <c r="K275" s="6"/>
      <c r="L275" s="6"/>
      <c r="M275" s="6"/>
      <c r="N275" s="84"/>
      <c r="O275" s="80" t="str">
        <f>IF(N275="","",VLOOKUP(N275,ROLES!B:C,2,FALSE))</f>
        <v/>
      </c>
      <c r="P275" s="15"/>
      <c r="Q275" s="15"/>
      <c r="R275" s="16">
        <f t="shared" si="10"/>
        <v>0</v>
      </c>
      <c r="S275" s="16"/>
      <c r="T275" s="80" t="str">
        <f>IF(S275="","",VLOOKUP(S275,VALORACION!F:G,2,FALSE))</f>
        <v/>
      </c>
      <c r="U275" s="11"/>
      <c r="V275" s="80" t="str">
        <f>IF(U275="","",VLOOKUP(U275,ROLES!G:H,2,FALSE))</f>
        <v/>
      </c>
      <c r="W275" s="11"/>
      <c r="X275" s="80" t="str">
        <f>IF(W275="","",VLOOKUP(W275,ROLES!I:J,2,FALSE))</f>
        <v/>
      </c>
      <c r="Y275" s="95" t="e">
        <f t="shared" si="9"/>
        <v>#VALUE!</v>
      </c>
      <c r="Z275" s="6"/>
      <c r="AA275" s="6"/>
    </row>
    <row r="276" spans="1:27" ht="28.95" customHeight="1" x14ac:dyDescent="0.3">
      <c r="A276" s="91"/>
      <c r="B276" s="91"/>
      <c r="C276" s="80"/>
      <c r="D276" s="91"/>
      <c r="E276" s="80"/>
      <c r="F276" s="6"/>
      <c r="G276" s="6"/>
      <c r="H276" s="25"/>
      <c r="I276" s="133"/>
      <c r="J276" s="6"/>
      <c r="K276" s="6"/>
      <c r="L276" s="6"/>
      <c r="M276" s="6"/>
      <c r="N276" s="84"/>
      <c r="O276" s="80" t="str">
        <f>IF(N276="","",VLOOKUP(N276,ROLES!B:C,2,FALSE))</f>
        <v/>
      </c>
      <c r="P276" s="15"/>
      <c r="Q276" s="15"/>
      <c r="R276" s="16">
        <f t="shared" si="10"/>
        <v>0</v>
      </c>
      <c r="S276" s="16"/>
      <c r="T276" s="80" t="str">
        <f>IF(S276="","",VLOOKUP(S276,VALORACION!F:G,2,FALSE))</f>
        <v/>
      </c>
      <c r="U276" s="11"/>
      <c r="V276" s="80" t="str">
        <f>IF(U276="","",VLOOKUP(U276,ROLES!G:H,2,FALSE))</f>
        <v/>
      </c>
      <c r="W276" s="11"/>
      <c r="X276" s="80" t="str">
        <f>IF(W276="","",VLOOKUP(W276,ROLES!I:J,2,FALSE))</f>
        <v/>
      </c>
      <c r="Y276" s="95" t="e">
        <f t="shared" si="9"/>
        <v>#VALUE!</v>
      </c>
      <c r="Z276" s="6"/>
      <c r="AA276" s="6"/>
    </row>
    <row r="277" spans="1:27" ht="28.95" customHeight="1" x14ac:dyDescent="0.3">
      <c r="A277" s="91"/>
      <c r="B277" s="91"/>
      <c r="C277" s="80"/>
      <c r="D277" s="91"/>
      <c r="E277" s="80"/>
      <c r="F277" s="6"/>
      <c r="G277" s="6"/>
      <c r="H277" s="25"/>
      <c r="I277" s="133"/>
      <c r="J277" s="6"/>
      <c r="K277" s="6"/>
      <c r="L277" s="6"/>
      <c r="M277" s="6"/>
      <c r="N277" s="84"/>
      <c r="O277" s="80" t="str">
        <f>IF(N277="","",VLOOKUP(N277,ROLES!B:C,2,FALSE))</f>
        <v/>
      </c>
      <c r="P277" s="15"/>
      <c r="Q277" s="15"/>
      <c r="R277" s="16">
        <f t="shared" si="10"/>
        <v>0</v>
      </c>
      <c r="S277" s="16"/>
      <c r="T277" s="80" t="str">
        <f>IF(S277="","",VLOOKUP(S277,VALORACION!F:G,2,FALSE))</f>
        <v/>
      </c>
      <c r="U277" s="11"/>
      <c r="V277" s="80" t="str">
        <f>IF(U277="","",VLOOKUP(U277,ROLES!G:H,2,FALSE))</f>
        <v/>
      </c>
      <c r="W277" s="11"/>
      <c r="X277" s="80" t="str">
        <f>IF(W277="","",VLOOKUP(W277,ROLES!I:J,2,FALSE))</f>
        <v/>
      </c>
      <c r="Y277" s="95" t="e">
        <f t="shared" si="9"/>
        <v>#VALUE!</v>
      </c>
      <c r="Z277" s="6"/>
      <c r="AA277" s="6"/>
    </row>
    <row r="278" spans="1:27" ht="28.95" customHeight="1" x14ac:dyDescent="0.3">
      <c r="A278" s="91"/>
      <c r="B278" s="91"/>
      <c r="C278" s="80"/>
      <c r="D278" s="91"/>
      <c r="E278" s="80"/>
      <c r="F278" s="6"/>
      <c r="G278" s="6"/>
      <c r="H278" s="25"/>
      <c r="I278" s="133"/>
      <c r="J278" s="6"/>
      <c r="K278" s="6"/>
      <c r="L278" s="6"/>
      <c r="M278" s="6"/>
      <c r="N278" s="84"/>
      <c r="O278" s="80" t="str">
        <f>IF(N278="","",VLOOKUP(N278,ROLES!B:C,2,FALSE))</f>
        <v/>
      </c>
      <c r="P278" s="15"/>
      <c r="Q278" s="15"/>
      <c r="R278" s="16">
        <f t="shared" si="10"/>
        <v>0</v>
      </c>
      <c r="S278" s="16"/>
      <c r="T278" s="80" t="str">
        <f>IF(S278="","",VLOOKUP(S278,VALORACION!F:G,2,FALSE))</f>
        <v/>
      </c>
      <c r="U278" s="11"/>
      <c r="V278" s="80" t="str">
        <f>IF(U278="","",VLOOKUP(U278,ROLES!G:H,2,FALSE))</f>
        <v/>
      </c>
      <c r="W278" s="11"/>
      <c r="X278" s="80" t="str">
        <f>IF(W278="","",VLOOKUP(W278,ROLES!I:J,2,FALSE))</f>
        <v/>
      </c>
      <c r="Y278" s="95" t="e">
        <f t="shared" si="9"/>
        <v>#VALUE!</v>
      </c>
      <c r="Z278" s="6"/>
      <c r="AA278" s="6"/>
    </row>
    <row r="279" spans="1:27" ht="28.95" customHeight="1" x14ac:dyDescent="0.3">
      <c r="A279" s="91"/>
      <c r="B279" s="91"/>
      <c r="C279" s="80"/>
      <c r="D279" s="91"/>
      <c r="E279" s="80"/>
      <c r="F279" s="6"/>
      <c r="G279" s="6"/>
      <c r="H279" s="25"/>
      <c r="I279" s="133"/>
      <c r="J279" s="6"/>
      <c r="K279" s="6"/>
      <c r="L279" s="6"/>
      <c r="M279" s="6"/>
      <c r="N279" s="84"/>
      <c r="O279" s="80" t="str">
        <f>IF(N279="","",VLOOKUP(N279,ROLES!B:C,2,FALSE))</f>
        <v/>
      </c>
      <c r="P279" s="15"/>
      <c r="Q279" s="15"/>
      <c r="R279" s="16">
        <f t="shared" si="10"/>
        <v>0</v>
      </c>
      <c r="S279" s="16"/>
      <c r="T279" s="80" t="str">
        <f>IF(S279="","",VLOOKUP(S279,VALORACION!F:G,2,FALSE))</f>
        <v/>
      </c>
      <c r="U279" s="11"/>
      <c r="V279" s="80" t="str">
        <f>IF(U279="","",VLOOKUP(U279,ROLES!G:H,2,FALSE))</f>
        <v/>
      </c>
      <c r="W279" s="11"/>
      <c r="X279" s="80" t="str">
        <f>IF(W279="","",VLOOKUP(W279,ROLES!I:J,2,FALSE))</f>
        <v/>
      </c>
      <c r="Y279" s="95" t="e">
        <f t="shared" si="9"/>
        <v>#VALUE!</v>
      </c>
      <c r="Z279" s="6"/>
      <c r="AA279" s="6"/>
    </row>
    <row r="280" spans="1:27" ht="28.95" customHeight="1" x14ac:dyDescent="0.3">
      <c r="A280" s="91"/>
      <c r="B280" s="91"/>
      <c r="C280" s="80"/>
      <c r="D280" s="91"/>
      <c r="E280" s="80"/>
      <c r="F280" s="6"/>
      <c r="G280" s="6"/>
      <c r="H280" s="25"/>
      <c r="I280" s="133"/>
      <c r="J280" s="6"/>
      <c r="K280" s="6"/>
      <c r="L280" s="6"/>
      <c r="M280" s="6"/>
      <c r="N280" s="84"/>
      <c r="O280" s="80" t="str">
        <f>IF(N280="","",VLOOKUP(N280,ROLES!B:C,2,FALSE))</f>
        <v/>
      </c>
      <c r="P280" s="15"/>
      <c r="Q280" s="15"/>
      <c r="R280" s="16">
        <f t="shared" si="10"/>
        <v>0</v>
      </c>
      <c r="S280" s="16"/>
      <c r="T280" s="80" t="str">
        <f>IF(S280="","",VLOOKUP(S280,VALORACION!F:G,2,FALSE))</f>
        <v/>
      </c>
      <c r="U280" s="11"/>
      <c r="V280" s="80" t="str">
        <f>IF(U280="","",VLOOKUP(U280,ROLES!G:H,2,FALSE))</f>
        <v/>
      </c>
      <c r="W280" s="11"/>
      <c r="X280" s="80" t="str">
        <f>IF(W280="","",VLOOKUP(W280,ROLES!I:J,2,FALSE))</f>
        <v/>
      </c>
      <c r="Y280" s="95" t="e">
        <f t="shared" si="9"/>
        <v>#VALUE!</v>
      </c>
      <c r="Z280" s="6"/>
      <c r="AA280" s="6"/>
    </row>
    <row r="281" spans="1:27" ht="28.95" customHeight="1" x14ac:dyDescent="0.3">
      <c r="A281" s="91"/>
      <c r="B281" s="91"/>
      <c r="C281" s="80"/>
      <c r="D281" s="91"/>
      <c r="E281" s="80"/>
      <c r="F281" s="6"/>
      <c r="G281" s="6"/>
      <c r="H281" s="25"/>
      <c r="I281" s="133"/>
      <c r="J281" s="6"/>
      <c r="K281" s="6"/>
      <c r="L281" s="6"/>
      <c r="M281" s="6"/>
      <c r="N281" s="84"/>
      <c r="O281" s="80" t="str">
        <f>IF(N281="","",VLOOKUP(N281,ROLES!B:C,2,FALSE))</f>
        <v/>
      </c>
      <c r="P281" s="15"/>
      <c r="Q281" s="15"/>
      <c r="R281" s="16">
        <f t="shared" si="10"/>
        <v>0</v>
      </c>
      <c r="S281" s="16"/>
      <c r="T281" s="80" t="str">
        <f>IF(S281="","",VLOOKUP(S281,VALORACION!F:G,2,FALSE))</f>
        <v/>
      </c>
      <c r="U281" s="11"/>
      <c r="V281" s="80" t="str">
        <f>IF(U281="","",VLOOKUP(U281,ROLES!G:H,2,FALSE))</f>
        <v/>
      </c>
      <c r="W281" s="11"/>
      <c r="X281" s="80" t="str">
        <f>IF(W281="","",VLOOKUP(W281,ROLES!I:J,2,FALSE))</f>
        <v/>
      </c>
      <c r="Y281" s="95" t="e">
        <f t="shared" si="9"/>
        <v>#VALUE!</v>
      </c>
      <c r="Z281" s="6"/>
      <c r="AA281" s="6"/>
    </row>
    <row r="282" spans="1:27" ht="28.95" customHeight="1" x14ac:dyDescent="0.3">
      <c r="A282" s="91"/>
      <c r="B282" s="91"/>
      <c r="C282" s="80"/>
      <c r="D282" s="91"/>
      <c r="E282" s="80"/>
      <c r="F282" s="6"/>
      <c r="G282" s="6"/>
      <c r="H282" s="25"/>
      <c r="I282" s="133"/>
      <c r="J282" s="6"/>
      <c r="K282" s="6"/>
      <c r="L282" s="6"/>
      <c r="M282" s="6"/>
      <c r="N282" s="84"/>
      <c r="O282" s="80" t="str">
        <f>IF(N282="","",VLOOKUP(N282,ROLES!B:C,2,FALSE))</f>
        <v/>
      </c>
      <c r="P282" s="15"/>
      <c r="Q282" s="15"/>
      <c r="R282" s="16">
        <f t="shared" si="10"/>
        <v>0</v>
      </c>
      <c r="S282" s="16"/>
      <c r="T282" s="80" t="str">
        <f>IF(S282="","",VLOOKUP(S282,VALORACION!F:G,2,FALSE))</f>
        <v/>
      </c>
      <c r="U282" s="11"/>
      <c r="V282" s="80" t="str">
        <f>IF(U282="","",VLOOKUP(U282,ROLES!G:H,2,FALSE))</f>
        <v/>
      </c>
      <c r="W282" s="11"/>
      <c r="X282" s="80" t="str">
        <f>IF(W282="","",VLOOKUP(W282,ROLES!I:J,2,FALSE))</f>
        <v/>
      </c>
      <c r="Y282" s="95" t="e">
        <f t="shared" si="9"/>
        <v>#VALUE!</v>
      </c>
      <c r="Z282" s="6"/>
      <c r="AA282" s="6"/>
    </row>
    <row r="283" spans="1:27" ht="28.95" customHeight="1" x14ac:dyDescent="0.3">
      <c r="A283" s="91"/>
      <c r="B283" s="91"/>
      <c r="C283" s="80"/>
      <c r="D283" s="91"/>
      <c r="E283" s="80"/>
      <c r="F283" s="6"/>
      <c r="G283" s="6"/>
      <c r="H283" s="25"/>
      <c r="I283" s="133"/>
      <c r="J283" s="6"/>
      <c r="K283" s="6"/>
      <c r="L283" s="6"/>
      <c r="M283" s="6"/>
      <c r="N283" s="84"/>
      <c r="O283" s="80" t="str">
        <f>IF(N283="","",VLOOKUP(N283,ROLES!B:C,2,FALSE))</f>
        <v/>
      </c>
      <c r="P283" s="15"/>
      <c r="Q283" s="15"/>
      <c r="R283" s="16">
        <f t="shared" si="10"/>
        <v>0</v>
      </c>
      <c r="S283" s="16"/>
      <c r="T283" s="80" t="str">
        <f>IF(S283="","",VLOOKUP(S283,VALORACION!F:G,2,FALSE))</f>
        <v/>
      </c>
      <c r="U283" s="11"/>
      <c r="V283" s="80" t="str">
        <f>IF(U283="","",VLOOKUP(U283,ROLES!G:H,2,FALSE))</f>
        <v/>
      </c>
      <c r="W283" s="11"/>
      <c r="X283" s="80" t="str">
        <f>IF(W283="","",VLOOKUP(W283,ROLES!I:J,2,FALSE))</f>
        <v/>
      </c>
      <c r="Y283" s="95" t="e">
        <f t="shared" si="9"/>
        <v>#VALUE!</v>
      </c>
      <c r="Z283" s="6"/>
      <c r="AA283" s="6"/>
    </row>
    <row r="284" spans="1:27" ht="28.95" customHeight="1" x14ac:dyDescent="0.3">
      <c r="A284" s="91"/>
      <c r="B284" s="91"/>
      <c r="C284" s="80"/>
      <c r="D284" s="91"/>
      <c r="E284" s="80"/>
      <c r="F284" s="6"/>
      <c r="G284" s="6"/>
      <c r="H284" s="25"/>
      <c r="I284" s="133"/>
      <c r="J284" s="6"/>
      <c r="K284" s="6"/>
      <c r="L284" s="6"/>
      <c r="M284" s="6"/>
      <c r="N284" s="84"/>
      <c r="O284" s="80" t="str">
        <f>IF(N284="","",VLOOKUP(N284,ROLES!B:C,2,FALSE))</f>
        <v/>
      </c>
      <c r="P284" s="15"/>
      <c r="Q284" s="15"/>
      <c r="R284" s="16">
        <f t="shared" si="10"/>
        <v>0</v>
      </c>
      <c r="S284" s="16"/>
      <c r="T284" s="80" t="str">
        <f>IF(S284="","",VLOOKUP(S284,VALORACION!F:G,2,FALSE))</f>
        <v/>
      </c>
      <c r="U284" s="11"/>
      <c r="V284" s="80" t="str">
        <f>IF(U284="","",VLOOKUP(U284,ROLES!G:H,2,FALSE))</f>
        <v/>
      </c>
      <c r="W284" s="11"/>
      <c r="X284" s="80" t="str">
        <f>IF(W284="","",VLOOKUP(W284,ROLES!I:J,2,FALSE))</f>
        <v/>
      </c>
      <c r="Y284" s="95" t="e">
        <f t="shared" si="9"/>
        <v>#VALUE!</v>
      </c>
      <c r="Z284" s="6"/>
      <c r="AA284" s="6"/>
    </row>
    <row r="285" spans="1:27" ht="28.95" customHeight="1" x14ac:dyDescent="0.3">
      <c r="A285" s="91"/>
      <c r="B285" s="91"/>
      <c r="C285" s="80"/>
      <c r="D285" s="91"/>
      <c r="E285" s="80"/>
      <c r="F285" s="6"/>
      <c r="G285" s="6"/>
      <c r="H285" s="25"/>
      <c r="I285" s="133"/>
      <c r="J285" s="6"/>
      <c r="K285" s="6"/>
      <c r="L285" s="6"/>
      <c r="M285" s="6"/>
      <c r="N285" s="84"/>
      <c r="O285" s="80" t="str">
        <f>IF(N285="","",VLOOKUP(N285,ROLES!B:C,2,FALSE))</f>
        <v/>
      </c>
      <c r="P285" s="15"/>
      <c r="Q285" s="15"/>
      <c r="R285" s="16">
        <f t="shared" si="10"/>
        <v>0</v>
      </c>
      <c r="S285" s="16"/>
      <c r="T285" s="80" t="str">
        <f>IF(S285="","",VLOOKUP(S285,VALORACION!F:G,2,FALSE))</f>
        <v/>
      </c>
      <c r="U285" s="11"/>
      <c r="V285" s="80" t="str">
        <f>IF(U285="","",VLOOKUP(U285,ROLES!G:H,2,FALSE))</f>
        <v/>
      </c>
      <c r="W285" s="11"/>
      <c r="X285" s="80" t="str">
        <f>IF(W285="","",VLOOKUP(W285,ROLES!I:J,2,FALSE))</f>
        <v/>
      </c>
      <c r="Y285" s="95" t="e">
        <f t="shared" si="9"/>
        <v>#VALUE!</v>
      </c>
      <c r="Z285" s="6"/>
      <c r="AA285" s="6"/>
    </row>
    <row r="286" spans="1:27" ht="28.95" customHeight="1" x14ac:dyDescent="0.3">
      <c r="A286" s="91"/>
      <c r="B286" s="91"/>
      <c r="C286" s="80"/>
      <c r="D286" s="91"/>
      <c r="E286" s="80"/>
      <c r="F286" s="6"/>
      <c r="G286" s="6"/>
      <c r="H286" s="25"/>
      <c r="I286" s="133"/>
      <c r="J286" s="6"/>
      <c r="K286" s="6"/>
      <c r="L286" s="6"/>
      <c r="M286" s="6"/>
      <c r="N286" s="84"/>
      <c r="O286" s="80" t="str">
        <f>IF(N286="","",VLOOKUP(N286,ROLES!B:C,2,FALSE))</f>
        <v/>
      </c>
      <c r="P286" s="15"/>
      <c r="Q286" s="15"/>
      <c r="R286" s="16">
        <f t="shared" si="10"/>
        <v>0</v>
      </c>
      <c r="S286" s="16"/>
      <c r="T286" s="80" t="str">
        <f>IF(S286="","",VLOOKUP(S286,VALORACION!F:G,2,FALSE))</f>
        <v/>
      </c>
      <c r="U286" s="11"/>
      <c r="V286" s="80" t="str">
        <f>IF(U286="","",VLOOKUP(U286,ROLES!G:H,2,FALSE))</f>
        <v/>
      </c>
      <c r="W286" s="11"/>
      <c r="X286" s="80" t="str">
        <f>IF(W286="","",VLOOKUP(W286,ROLES!I:J,2,FALSE))</f>
        <v/>
      </c>
      <c r="Y286" s="95" t="e">
        <f t="shared" si="9"/>
        <v>#VALUE!</v>
      </c>
      <c r="Z286" s="6"/>
      <c r="AA286" s="6"/>
    </row>
    <row r="287" spans="1:27" ht="28.95" customHeight="1" x14ac:dyDescent="0.3">
      <c r="A287" s="91"/>
      <c r="B287" s="91"/>
      <c r="C287" s="80"/>
      <c r="D287" s="91"/>
      <c r="E287" s="80"/>
      <c r="F287" s="6"/>
      <c r="G287" s="6"/>
      <c r="H287" s="25"/>
      <c r="I287" s="133"/>
      <c r="J287" s="6"/>
      <c r="K287" s="6"/>
      <c r="L287" s="6"/>
      <c r="M287" s="6"/>
      <c r="N287" s="84"/>
      <c r="O287" s="80" t="str">
        <f>IF(N287="","",VLOOKUP(N287,ROLES!B:C,2,FALSE))</f>
        <v/>
      </c>
      <c r="P287" s="15"/>
      <c r="Q287" s="15"/>
      <c r="R287" s="16">
        <f t="shared" si="10"/>
        <v>0</v>
      </c>
      <c r="S287" s="16"/>
      <c r="T287" s="80" t="str">
        <f>IF(S287="","",VLOOKUP(S287,VALORACION!F:G,2,FALSE))</f>
        <v/>
      </c>
      <c r="U287" s="11"/>
      <c r="V287" s="80" t="str">
        <f>IF(U287="","",VLOOKUP(U287,ROLES!G:H,2,FALSE))</f>
        <v/>
      </c>
      <c r="W287" s="11"/>
      <c r="X287" s="80" t="str">
        <f>IF(W287="","",VLOOKUP(W287,ROLES!I:J,2,FALSE))</f>
        <v/>
      </c>
      <c r="Y287" s="95" t="e">
        <f t="shared" si="9"/>
        <v>#VALUE!</v>
      </c>
      <c r="Z287" s="6"/>
      <c r="AA287" s="6"/>
    </row>
    <row r="288" spans="1:27" ht="28.95" customHeight="1" x14ac:dyDescent="0.3">
      <c r="A288" s="91"/>
      <c r="B288" s="91"/>
      <c r="C288" s="80"/>
      <c r="D288" s="91"/>
      <c r="E288" s="80"/>
      <c r="F288" s="6"/>
      <c r="G288" s="6"/>
      <c r="H288" s="25"/>
      <c r="I288" s="133"/>
      <c r="J288" s="6"/>
      <c r="K288" s="6"/>
      <c r="L288" s="6"/>
      <c r="M288" s="6"/>
      <c r="N288" s="84"/>
      <c r="O288" s="80" t="str">
        <f>IF(N288="","",VLOOKUP(N288,ROLES!B:C,2,FALSE))</f>
        <v/>
      </c>
      <c r="P288" s="15"/>
      <c r="Q288" s="15"/>
      <c r="R288" s="16">
        <f t="shared" si="10"/>
        <v>0</v>
      </c>
      <c r="S288" s="16"/>
      <c r="T288" s="80" t="str">
        <f>IF(S288="","",VLOOKUP(S288,VALORACION!F:G,2,FALSE))</f>
        <v/>
      </c>
      <c r="U288" s="11"/>
      <c r="V288" s="80" t="str">
        <f>IF(U288="","",VLOOKUP(U288,ROLES!G:H,2,FALSE))</f>
        <v/>
      </c>
      <c r="W288" s="11"/>
      <c r="X288" s="80" t="str">
        <f>IF(W288="","",VLOOKUP(W288,ROLES!I:J,2,FALSE))</f>
        <v/>
      </c>
      <c r="Y288" s="95" t="e">
        <f t="shared" si="9"/>
        <v>#VALUE!</v>
      </c>
      <c r="Z288" s="6"/>
      <c r="AA288" s="6"/>
    </row>
    <row r="289" spans="1:27" ht="28.95" customHeight="1" x14ac:dyDescent="0.3">
      <c r="A289" s="91"/>
      <c r="B289" s="91"/>
      <c r="C289" s="80"/>
      <c r="D289" s="91"/>
      <c r="E289" s="80"/>
      <c r="F289" s="6"/>
      <c r="G289" s="6"/>
      <c r="H289" s="25"/>
      <c r="I289" s="133"/>
      <c r="J289" s="6"/>
      <c r="K289" s="6"/>
      <c r="L289" s="6"/>
      <c r="M289" s="6"/>
      <c r="N289" s="84"/>
      <c r="O289" s="80" t="str">
        <f>IF(N289="","",VLOOKUP(N289,ROLES!B:C,2,FALSE))</f>
        <v/>
      </c>
      <c r="P289" s="15"/>
      <c r="Q289" s="15"/>
      <c r="R289" s="16">
        <f t="shared" si="10"/>
        <v>0</v>
      </c>
      <c r="S289" s="16"/>
      <c r="T289" s="80" t="str">
        <f>IF(S289="","",VLOOKUP(S289,VALORACION!F:G,2,FALSE))</f>
        <v/>
      </c>
      <c r="U289" s="11"/>
      <c r="V289" s="80" t="str">
        <f>IF(U289="","",VLOOKUP(U289,ROLES!G:H,2,FALSE))</f>
        <v/>
      </c>
      <c r="W289" s="11"/>
      <c r="X289" s="80" t="str">
        <f>IF(W289="","",VLOOKUP(W289,ROLES!I:J,2,FALSE))</f>
        <v/>
      </c>
      <c r="Y289" s="95" t="e">
        <f t="shared" si="9"/>
        <v>#VALUE!</v>
      </c>
      <c r="Z289" s="6"/>
      <c r="AA289" s="6"/>
    </row>
    <row r="290" spans="1:27" ht="28.95" customHeight="1" x14ac:dyDescent="0.3">
      <c r="A290" s="91"/>
      <c r="B290" s="91"/>
      <c r="C290" s="80"/>
      <c r="D290" s="91"/>
      <c r="E290" s="80"/>
      <c r="F290" s="6"/>
      <c r="G290" s="6"/>
      <c r="H290" s="25"/>
      <c r="I290" s="133"/>
      <c r="J290" s="6"/>
      <c r="K290" s="6"/>
      <c r="L290" s="6"/>
      <c r="M290" s="6"/>
      <c r="N290" s="84"/>
      <c r="O290" s="80" t="str">
        <f>IF(N290="","",VLOOKUP(N290,ROLES!B:C,2,FALSE))</f>
        <v/>
      </c>
      <c r="P290" s="15"/>
      <c r="Q290" s="15"/>
      <c r="R290" s="16">
        <f t="shared" si="10"/>
        <v>0</v>
      </c>
      <c r="S290" s="16"/>
      <c r="T290" s="80" t="str">
        <f>IF(S290="","",VLOOKUP(S290,VALORACION!F:G,2,FALSE))</f>
        <v/>
      </c>
      <c r="U290" s="11"/>
      <c r="V290" s="80" t="str">
        <f>IF(U290="","",VLOOKUP(U290,ROLES!G:H,2,FALSE))</f>
        <v/>
      </c>
      <c r="W290" s="11"/>
      <c r="X290" s="80" t="str">
        <f>IF(W290="","",VLOOKUP(W290,ROLES!I:J,2,FALSE))</f>
        <v/>
      </c>
      <c r="Y290" s="95" t="e">
        <f t="shared" si="9"/>
        <v>#VALUE!</v>
      </c>
      <c r="Z290" s="6"/>
      <c r="AA290" s="6"/>
    </row>
    <row r="291" spans="1:27" ht="28.95" customHeight="1" x14ac:dyDescent="0.3">
      <c r="A291" s="91"/>
      <c r="B291" s="91"/>
      <c r="C291" s="80"/>
      <c r="D291" s="91"/>
      <c r="E291" s="80"/>
      <c r="F291" s="6"/>
      <c r="G291" s="6"/>
      <c r="H291" s="25"/>
      <c r="I291" s="133"/>
      <c r="J291" s="6"/>
      <c r="K291" s="6"/>
      <c r="L291" s="6"/>
      <c r="M291" s="6"/>
      <c r="N291" s="84"/>
      <c r="O291" s="80" t="str">
        <f>IF(N291="","",VLOOKUP(N291,ROLES!B:C,2,FALSE))</f>
        <v/>
      </c>
      <c r="P291" s="15"/>
      <c r="Q291" s="15"/>
      <c r="R291" s="16">
        <f t="shared" si="10"/>
        <v>0</v>
      </c>
      <c r="S291" s="16"/>
      <c r="T291" s="80" t="str">
        <f>IF(S291="","",VLOOKUP(S291,VALORACION!F:G,2,FALSE))</f>
        <v/>
      </c>
      <c r="U291" s="11"/>
      <c r="V291" s="80" t="str">
        <f>IF(U291="","",VLOOKUP(U291,ROLES!G:H,2,FALSE))</f>
        <v/>
      </c>
      <c r="W291" s="11"/>
      <c r="X291" s="80" t="str">
        <f>IF(W291="","",VLOOKUP(W291,ROLES!I:J,2,FALSE))</f>
        <v/>
      </c>
      <c r="Y291" s="95" t="e">
        <f t="shared" si="9"/>
        <v>#VALUE!</v>
      </c>
      <c r="Z291" s="6"/>
      <c r="AA291" s="6"/>
    </row>
    <row r="292" spans="1:27" ht="28.95" customHeight="1" x14ac:dyDescent="0.3">
      <c r="A292" s="91"/>
      <c r="B292" s="91"/>
      <c r="C292" s="80"/>
      <c r="D292" s="91"/>
      <c r="E292" s="80"/>
      <c r="F292" s="6"/>
      <c r="G292" s="6"/>
      <c r="H292" s="25"/>
      <c r="I292" s="133"/>
      <c r="J292" s="6"/>
      <c r="K292" s="6"/>
      <c r="L292" s="6"/>
      <c r="M292" s="6"/>
      <c r="N292" s="84"/>
      <c r="O292" s="80" t="str">
        <f>IF(N292="","",VLOOKUP(N292,ROLES!B:C,2,FALSE))</f>
        <v/>
      </c>
      <c r="P292" s="15"/>
      <c r="Q292" s="15"/>
      <c r="R292" s="16">
        <f t="shared" si="10"/>
        <v>0</v>
      </c>
      <c r="S292" s="16"/>
      <c r="T292" s="80" t="str">
        <f>IF(S292="","",VLOOKUP(S292,VALORACION!F:G,2,FALSE))</f>
        <v/>
      </c>
      <c r="U292" s="11"/>
      <c r="V292" s="80" t="str">
        <f>IF(U292="","",VLOOKUP(U292,ROLES!G:H,2,FALSE))</f>
        <v/>
      </c>
      <c r="W292" s="11"/>
      <c r="X292" s="80" t="str">
        <f>IF(W292="","",VLOOKUP(W292,ROLES!I:J,2,FALSE))</f>
        <v/>
      </c>
      <c r="Y292" s="95" t="e">
        <f t="shared" si="9"/>
        <v>#VALUE!</v>
      </c>
      <c r="Z292" s="6"/>
      <c r="AA292" s="6"/>
    </row>
    <row r="293" spans="1:27" ht="28.95" customHeight="1" x14ac:dyDescent="0.3">
      <c r="A293" s="91"/>
      <c r="B293" s="91"/>
      <c r="C293" s="80"/>
      <c r="D293" s="91"/>
      <c r="E293" s="80"/>
      <c r="F293" s="6"/>
      <c r="G293" s="6"/>
      <c r="H293" s="25"/>
      <c r="I293" s="133"/>
      <c r="J293" s="6"/>
      <c r="K293" s="6"/>
      <c r="L293" s="6"/>
      <c r="M293" s="6"/>
      <c r="N293" s="84"/>
      <c r="O293" s="80" t="str">
        <f>IF(N293="","",VLOOKUP(N293,ROLES!B:C,2,FALSE))</f>
        <v/>
      </c>
      <c r="P293" s="15"/>
      <c r="Q293" s="15"/>
      <c r="R293" s="16">
        <f t="shared" si="10"/>
        <v>0</v>
      </c>
      <c r="S293" s="16"/>
      <c r="T293" s="80" t="str">
        <f>IF(S293="","",VLOOKUP(S293,VALORACION!F:G,2,FALSE))</f>
        <v/>
      </c>
      <c r="U293" s="11"/>
      <c r="V293" s="80" t="str">
        <f>IF(U293="","",VLOOKUP(U293,ROLES!G:H,2,FALSE))</f>
        <v/>
      </c>
      <c r="W293" s="11"/>
      <c r="X293" s="80" t="str">
        <f>IF(W293="","",VLOOKUP(W293,ROLES!I:J,2,FALSE))</f>
        <v/>
      </c>
      <c r="Y293" s="95" t="e">
        <f t="shared" si="9"/>
        <v>#VALUE!</v>
      </c>
      <c r="Z293" s="6"/>
      <c r="AA293" s="6"/>
    </row>
    <row r="294" spans="1:27" ht="28.95" customHeight="1" x14ac:dyDescent="0.3">
      <c r="A294" s="91"/>
      <c r="B294" s="91"/>
      <c r="C294" s="80"/>
      <c r="D294" s="91"/>
      <c r="E294" s="80"/>
      <c r="F294" s="6"/>
      <c r="G294" s="6"/>
      <c r="H294" s="25"/>
      <c r="I294" s="133"/>
      <c r="J294" s="6"/>
      <c r="K294" s="6"/>
      <c r="L294" s="6"/>
      <c r="M294" s="6"/>
      <c r="N294" s="84"/>
      <c r="O294" s="80" t="str">
        <f>IF(N294="","",VLOOKUP(N294,ROLES!B:C,2,FALSE))</f>
        <v/>
      </c>
      <c r="P294" s="15"/>
      <c r="Q294" s="15"/>
      <c r="R294" s="16">
        <f t="shared" si="10"/>
        <v>0</v>
      </c>
      <c r="S294" s="16"/>
      <c r="T294" s="80" t="str">
        <f>IF(S294="","",VLOOKUP(S294,VALORACION!F:G,2,FALSE))</f>
        <v/>
      </c>
      <c r="U294" s="11"/>
      <c r="V294" s="80" t="str">
        <f>IF(U294="","",VLOOKUP(U294,ROLES!G:H,2,FALSE))</f>
        <v/>
      </c>
      <c r="W294" s="11"/>
      <c r="X294" s="80" t="str">
        <f>IF(W294="","",VLOOKUP(W294,ROLES!I:J,2,FALSE))</f>
        <v/>
      </c>
      <c r="Y294" s="95" t="e">
        <f t="shared" si="9"/>
        <v>#VALUE!</v>
      </c>
      <c r="Z294" s="6"/>
      <c r="AA294" s="6"/>
    </row>
    <row r="295" spans="1:27" ht="28.95" customHeight="1" x14ac:dyDescent="0.3">
      <c r="A295" s="91"/>
      <c r="B295" s="91"/>
      <c r="C295" s="80"/>
      <c r="D295" s="91"/>
      <c r="E295" s="80"/>
      <c r="F295" s="6"/>
      <c r="G295" s="6"/>
      <c r="H295" s="25"/>
      <c r="I295" s="133"/>
      <c r="J295" s="6"/>
      <c r="K295" s="6"/>
      <c r="L295" s="6"/>
      <c r="M295" s="6"/>
      <c r="N295" s="84"/>
      <c r="O295" s="80" t="str">
        <f>IF(N295="","",VLOOKUP(N295,ROLES!B:C,2,FALSE))</f>
        <v/>
      </c>
      <c r="P295" s="15"/>
      <c r="Q295" s="15"/>
      <c r="R295" s="16">
        <f t="shared" si="10"/>
        <v>0</v>
      </c>
      <c r="S295" s="16"/>
      <c r="T295" s="80" t="str">
        <f>IF(S295="","",VLOOKUP(S295,VALORACION!F:G,2,FALSE))</f>
        <v/>
      </c>
      <c r="U295" s="11"/>
      <c r="V295" s="80" t="str">
        <f>IF(U295="","",VLOOKUP(U295,ROLES!G:H,2,FALSE))</f>
        <v/>
      </c>
      <c r="W295" s="11"/>
      <c r="X295" s="80" t="str">
        <f>IF(W295="","",VLOOKUP(W295,ROLES!I:J,2,FALSE))</f>
        <v/>
      </c>
      <c r="Y295" s="95" t="e">
        <f t="shared" si="9"/>
        <v>#VALUE!</v>
      </c>
      <c r="Z295" s="6"/>
      <c r="AA295" s="6"/>
    </row>
    <row r="296" spans="1:27" ht="28.95" customHeight="1" x14ac:dyDescent="0.3">
      <c r="A296" s="91"/>
      <c r="B296" s="91"/>
      <c r="C296" s="80"/>
      <c r="D296" s="91"/>
      <c r="E296" s="80"/>
      <c r="F296" s="6"/>
      <c r="G296" s="6"/>
      <c r="H296" s="25"/>
      <c r="I296" s="133"/>
      <c r="J296" s="6"/>
      <c r="K296" s="6"/>
      <c r="L296" s="6"/>
      <c r="M296" s="6"/>
      <c r="N296" s="84"/>
      <c r="O296" s="80" t="str">
        <f>IF(N296="","",VLOOKUP(N296,ROLES!B:C,2,FALSE))</f>
        <v/>
      </c>
      <c r="P296" s="15"/>
      <c r="Q296" s="15"/>
      <c r="R296" s="16">
        <f t="shared" si="10"/>
        <v>0</v>
      </c>
      <c r="S296" s="16"/>
      <c r="T296" s="80" t="str">
        <f>IF(S296="","",VLOOKUP(S296,VALORACION!F:G,2,FALSE))</f>
        <v/>
      </c>
      <c r="U296" s="11"/>
      <c r="V296" s="80" t="str">
        <f>IF(U296="","",VLOOKUP(U296,ROLES!G:H,2,FALSE))</f>
        <v/>
      </c>
      <c r="W296" s="11"/>
      <c r="X296" s="80" t="str">
        <f>IF(W296="","",VLOOKUP(W296,ROLES!I:J,2,FALSE))</f>
        <v/>
      </c>
      <c r="Y296" s="95" t="e">
        <f t="shared" si="9"/>
        <v>#VALUE!</v>
      </c>
      <c r="Z296" s="6"/>
      <c r="AA296" s="6"/>
    </row>
    <row r="297" spans="1:27" ht="28.95" customHeight="1" x14ac:dyDescent="0.3">
      <c r="A297" s="91"/>
      <c r="B297" s="91"/>
      <c r="C297" s="80"/>
      <c r="D297" s="91"/>
      <c r="E297" s="80"/>
      <c r="F297" s="6"/>
      <c r="G297" s="6"/>
      <c r="H297" s="25"/>
      <c r="I297" s="133"/>
      <c r="J297" s="6"/>
      <c r="K297" s="6"/>
      <c r="L297" s="6"/>
      <c r="M297" s="6"/>
      <c r="N297" s="84"/>
      <c r="O297" s="80" t="str">
        <f>IF(N297="","",VLOOKUP(N297,ROLES!B:C,2,FALSE))</f>
        <v/>
      </c>
      <c r="P297" s="15"/>
      <c r="Q297" s="15"/>
      <c r="R297" s="16">
        <f t="shared" si="10"/>
        <v>0</v>
      </c>
      <c r="S297" s="16"/>
      <c r="T297" s="80" t="str">
        <f>IF(S297="","",VLOOKUP(S297,VALORACION!F:G,2,FALSE))</f>
        <v/>
      </c>
      <c r="U297" s="11"/>
      <c r="V297" s="80" t="str">
        <f>IF(U297="","",VLOOKUP(U297,ROLES!G:H,2,FALSE))</f>
        <v/>
      </c>
      <c r="W297" s="11"/>
      <c r="X297" s="80" t="str">
        <f>IF(W297="","",VLOOKUP(W297,ROLES!I:J,2,FALSE))</f>
        <v/>
      </c>
      <c r="Y297" s="95" t="e">
        <f t="shared" si="9"/>
        <v>#VALUE!</v>
      </c>
      <c r="Z297" s="6"/>
      <c r="AA297" s="6"/>
    </row>
    <row r="298" spans="1:27" ht="28.95" customHeight="1" x14ac:dyDescent="0.3">
      <c r="A298" s="91"/>
      <c r="B298" s="91"/>
      <c r="C298" s="80"/>
      <c r="D298" s="91"/>
      <c r="E298" s="80"/>
      <c r="F298" s="6"/>
      <c r="G298" s="6"/>
      <c r="H298" s="25"/>
      <c r="I298" s="133"/>
      <c r="J298" s="6"/>
      <c r="K298" s="6"/>
      <c r="L298" s="6"/>
      <c r="M298" s="6"/>
      <c r="N298" s="84"/>
      <c r="O298" s="80" t="str">
        <f>IF(N298="","",VLOOKUP(N298,ROLES!B:C,2,FALSE))</f>
        <v/>
      </c>
      <c r="P298" s="15"/>
      <c r="Q298" s="15"/>
      <c r="R298" s="16">
        <f t="shared" si="10"/>
        <v>0</v>
      </c>
      <c r="S298" s="16"/>
      <c r="T298" s="80" t="str">
        <f>IF(S298="","",VLOOKUP(S298,VALORACION!F:G,2,FALSE))</f>
        <v/>
      </c>
      <c r="U298" s="11"/>
      <c r="V298" s="80" t="str">
        <f>IF(U298="","",VLOOKUP(U298,ROLES!G:H,2,FALSE))</f>
        <v/>
      </c>
      <c r="W298" s="11"/>
      <c r="X298" s="80" t="str">
        <f>IF(W298="","",VLOOKUP(W298,ROLES!I:J,2,FALSE))</f>
        <v/>
      </c>
      <c r="Y298" s="95" t="e">
        <f t="shared" si="9"/>
        <v>#VALUE!</v>
      </c>
      <c r="Z298" s="6"/>
      <c r="AA298" s="6"/>
    </row>
    <row r="299" spans="1:27" ht="28.95" customHeight="1" x14ac:dyDescent="0.3">
      <c r="A299" s="91"/>
      <c r="B299" s="91"/>
      <c r="C299" s="80"/>
      <c r="D299" s="91"/>
      <c r="E299" s="80"/>
      <c r="F299" s="6"/>
      <c r="G299" s="6"/>
      <c r="H299" s="25"/>
      <c r="I299" s="133"/>
      <c r="J299" s="6"/>
      <c r="K299" s="6"/>
      <c r="L299" s="6"/>
      <c r="M299" s="6"/>
      <c r="N299" s="84"/>
      <c r="O299" s="80" t="str">
        <f>IF(N299="","",VLOOKUP(N299,ROLES!B:C,2,FALSE))</f>
        <v/>
      </c>
      <c r="P299" s="15"/>
      <c r="Q299" s="15"/>
      <c r="R299" s="16">
        <f t="shared" si="10"/>
        <v>0</v>
      </c>
      <c r="S299" s="16"/>
      <c r="T299" s="80" t="str">
        <f>IF(S299="","",VLOOKUP(S299,VALORACION!F:G,2,FALSE))</f>
        <v/>
      </c>
      <c r="U299" s="11"/>
      <c r="V299" s="80" t="str">
        <f>IF(U299="","",VLOOKUP(U299,ROLES!G:H,2,FALSE))</f>
        <v/>
      </c>
      <c r="W299" s="11"/>
      <c r="X299" s="80" t="str">
        <f>IF(W299="","",VLOOKUP(W299,ROLES!I:J,2,FALSE))</f>
        <v/>
      </c>
      <c r="Y299" s="95" t="e">
        <f t="shared" si="9"/>
        <v>#VALUE!</v>
      </c>
      <c r="Z299" s="6"/>
      <c r="AA299" s="6"/>
    </row>
    <row r="300" spans="1:27" ht="28.95" customHeight="1" x14ac:dyDescent="0.3">
      <c r="A300" s="91"/>
      <c r="B300" s="91"/>
      <c r="C300" s="80"/>
      <c r="D300" s="91"/>
      <c r="E300" s="80"/>
      <c r="F300" s="6"/>
      <c r="G300" s="6"/>
      <c r="H300" s="25"/>
      <c r="I300" s="133"/>
      <c r="J300" s="6"/>
      <c r="K300" s="6"/>
      <c r="L300" s="6"/>
      <c r="M300" s="6"/>
      <c r="N300" s="84"/>
      <c r="O300" s="80" t="str">
        <f>IF(N300="","",VLOOKUP(N300,ROLES!B:C,2,FALSE))</f>
        <v/>
      </c>
      <c r="P300" s="15"/>
      <c r="Q300" s="15"/>
      <c r="R300" s="16">
        <f t="shared" si="10"/>
        <v>0</v>
      </c>
      <c r="S300" s="16"/>
      <c r="T300" s="80" t="str">
        <f>IF(S300="","",VLOOKUP(S300,VALORACION!F:G,2,FALSE))</f>
        <v/>
      </c>
      <c r="U300" s="11"/>
      <c r="V300" s="80" t="str">
        <f>IF(U300="","",VLOOKUP(U300,ROLES!G:H,2,FALSE))</f>
        <v/>
      </c>
      <c r="W300" s="11"/>
      <c r="X300" s="80" t="str">
        <f>IF(W300="","",VLOOKUP(W300,ROLES!I:J,2,FALSE))</f>
        <v/>
      </c>
      <c r="Y300" s="95" t="e">
        <f t="shared" si="9"/>
        <v>#VALUE!</v>
      </c>
      <c r="Z300" s="6"/>
      <c r="AA300" s="6"/>
    </row>
    <row r="301" spans="1:27" ht="28.95" customHeight="1" x14ac:dyDescent="0.3">
      <c r="A301" s="91"/>
      <c r="B301" s="91"/>
      <c r="C301" s="80"/>
      <c r="D301" s="91"/>
      <c r="E301" s="80"/>
      <c r="F301" s="6"/>
      <c r="G301" s="6"/>
      <c r="H301" s="25"/>
      <c r="I301" s="133"/>
      <c r="J301" s="6"/>
      <c r="K301" s="6"/>
      <c r="L301" s="6"/>
      <c r="M301" s="6"/>
      <c r="N301" s="84"/>
      <c r="O301" s="80" t="str">
        <f>IF(N301="","",VLOOKUP(N301,ROLES!B:C,2,FALSE))</f>
        <v/>
      </c>
      <c r="P301" s="15"/>
      <c r="Q301" s="15"/>
      <c r="R301" s="16">
        <f t="shared" si="10"/>
        <v>0</v>
      </c>
      <c r="S301" s="16"/>
      <c r="T301" s="80" t="str">
        <f>IF(S301="","",VLOOKUP(S301,VALORACION!F:G,2,FALSE))</f>
        <v/>
      </c>
      <c r="U301" s="11"/>
      <c r="V301" s="80" t="str">
        <f>IF(U301="","",VLOOKUP(U301,ROLES!G:H,2,FALSE))</f>
        <v/>
      </c>
      <c r="W301" s="11"/>
      <c r="X301" s="80" t="str">
        <f>IF(W301="","",VLOOKUP(W301,ROLES!I:J,2,FALSE))</f>
        <v/>
      </c>
      <c r="Y301" s="95" t="e">
        <f t="shared" si="9"/>
        <v>#VALUE!</v>
      </c>
      <c r="Z301" s="6"/>
      <c r="AA301" s="6"/>
    </row>
    <row r="302" spans="1:27" ht="28.95" customHeight="1" x14ac:dyDescent="0.3">
      <c r="A302" s="91"/>
      <c r="B302" s="91"/>
      <c r="C302" s="80"/>
      <c r="D302" s="91"/>
      <c r="E302" s="80"/>
      <c r="F302" s="6"/>
      <c r="G302" s="6"/>
      <c r="H302" s="25"/>
      <c r="I302" s="133"/>
      <c r="J302" s="6"/>
      <c r="K302" s="6"/>
      <c r="L302" s="6"/>
      <c r="M302" s="6"/>
      <c r="N302" s="84"/>
      <c r="O302" s="80" t="str">
        <f>IF(N302="","",VLOOKUP(N302,ROLES!B:C,2,FALSE))</f>
        <v/>
      </c>
      <c r="P302" s="15"/>
      <c r="Q302" s="15"/>
      <c r="R302" s="16">
        <f t="shared" si="10"/>
        <v>0</v>
      </c>
      <c r="S302" s="16"/>
      <c r="T302" s="80" t="str">
        <f>IF(S302="","",VLOOKUP(S302,VALORACION!F:G,2,FALSE))</f>
        <v/>
      </c>
      <c r="U302" s="11"/>
      <c r="V302" s="80" t="str">
        <f>IF(U302="","",VLOOKUP(U302,ROLES!G:H,2,FALSE))</f>
        <v/>
      </c>
      <c r="W302" s="11"/>
      <c r="X302" s="80" t="str">
        <f>IF(W302="","",VLOOKUP(W302,ROLES!I:J,2,FALSE))</f>
        <v/>
      </c>
      <c r="Y302" s="95" t="e">
        <f t="shared" si="9"/>
        <v>#VALUE!</v>
      </c>
      <c r="Z302" s="6"/>
      <c r="AA302" s="6"/>
    </row>
    <row r="303" spans="1:27" ht="28.95" customHeight="1" x14ac:dyDescent="0.3">
      <c r="A303" s="91"/>
      <c r="B303" s="91"/>
      <c r="C303" s="80"/>
      <c r="D303" s="91"/>
      <c r="E303" s="80"/>
      <c r="F303" s="6"/>
      <c r="G303" s="6"/>
      <c r="H303" s="25"/>
      <c r="I303" s="133"/>
      <c r="J303" s="6"/>
      <c r="K303" s="6"/>
      <c r="L303" s="6"/>
      <c r="M303" s="6"/>
      <c r="N303" s="84"/>
      <c r="O303" s="80" t="str">
        <f>IF(N303="","",VLOOKUP(N303,ROLES!B:C,2,FALSE))</f>
        <v/>
      </c>
      <c r="P303" s="15"/>
      <c r="Q303" s="15"/>
      <c r="R303" s="16">
        <f t="shared" si="10"/>
        <v>0</v>
      </c>
      <c r="S303" s="16"/>
      <c r="T303" s="80" t="str">
        <f>IF(S303="","",VLOOKUP(S303,VALORACION!F:G,2,FALSE))</f>
        <v/>
      </c>
      <c r="U303" s="11"/>
      <c r="V303" s="80" t="str">
        <f>IF(U303="","",VLOOKUP(U303,ROLES!G:H,2,FALSE))</f>
        <v/>
      </c>
      <c r="W303" s="11"/>
      <c r="X303" s="80" t="str">
        <f>IF(W303="","",VLOOKUP(W303,ROLES!I:J,2,FALSE))</f>
        <v/>
      </c>
      <c r="Y303" s="95" t="e">
        <f t="shared" si="9"/>
        <v>#VALUE!</v>
      </c>
      <c r="Z303" s="6"/>
      <c r="AA303" s="6"/>
    </row>
    <row r="304" spans="1:27" ht="28.95" customHeight="1" x14ac:dyDescent="0.3">
      <c r="A304" s="91"/>
      <c r="B304" s="91"/>
      <c r="C304" s="80"/>
      <c r="D304" s="91"/>
      <c r="E304" s="80"/>
      <c r="F304" s="6"/>
      <c r="G304" s="6"/>
      <c r="H304" s="25"/>
      <c r="I304" s="133"/>
      <c r="J304" s="6"/>
      <c r="K304" s="6"/>
      <c r="L304" s="6"/>
      <c r="M304" s="6"/>
      <c r="N304" s="84"/>
      <c r="O304" s="80" t="str">
        <f>IF(N304="","",VLOOKUP(N304,ROLES!B:C,2,FALSE))</f>
        <v/>
      </c>
      <c r="P304" s="15"/>
      <c r="Q304" s="15"/>
      <c r="R304" s="16">
        <f t="shared" si="10"/>
        <v>0</v>
      </c>
      <c r="S304" s="16"/>
      <c r="T304" s="80" t="str">
        <f>IF(S304="","",VLOOKUP(S304,VALORACION!F:G,2,FALSE))</f>
        <v/>
      </c>
      <c r="U304" s="11"/>
      <c r="V304" s="80" t="str">
        <f>IF(U304="","",VLOOKUP(U304,ROLES!G:H,2,FALSE))</f>
        <v/>
      </c>
      <c r="W304" s="11"/>
      <c r="X304" s="80" t="str">
        <f>IF(W304="","",VLOOKUP(W304,ROLES!I:J,2,FALSE))</f>
        <v/>
      </c>
      <c r="Y304" s="95" t="e">
        <f t="shared" si="9"/>
        <v>#VALUE!</v>
      </c>
      <c r="Z304" s="6"/>
      <c r="AA304" s="6"/>
    </row>
    <row r="305" spans="1:27" ht="28.95" customHeight="1" x14ac:dyDescent="0.3">
      <c r="A305" s="91"/>
      <c r="B305" s="91"/>
      <c r="C305" s="80"/>
      <c r="D305" s="91"/>
      <c r="E305" s="80"/>
      <c r="F305" s="6"/>
      <c r="G305" s="6"/>
      <c r="H305" s="25"/>
      <c r="I305" s="133"/>
      <c r="J305" s="6"/>
      <c r="K305" s="6"/>
      <c r="L305" s="6"/>
      <c r="M305" s="6"/>
      <c r="N305" s="84"/>
      <c r="O305" s="80" t="str">
        <f>IF(N305="","",VLOOKUP(N305,ROLES!B:C,2,FALSE))</f>
        <v/>
      </c>
      <c r="P305" s="15"/>
      <c r="Q305" s="15"/>
      <c r="R305" s="16">
        <f t="shared" si="10"/>
        <v>0</v>
      </c>
      <c r="S305" s="16"/>
      <c r="T305" s="80" t="str">
        <f>IF(S305="","",VLOOKUP(S305,VALORACION!F:G,2,FALSE))</f>
        <v/>
      </c>
      <c r="U305" s="11"/>
      <c r="V305" s="80" t="str">
        <f>IF(U305="","",VLOOKUP(U305,ROLES!G:H,2,FALSE))</f>
        <v/>
      </c>
      <c r="W305" s="11"/>
      <c r="X305" s="80" t="str">
        <f>IF(W305="","",VLOOKUP(W305,ROLES!I:J,2,FALSE))</f>
        <v/>
      </c>
      <c r="Y305" s="95" t="e">
        <f t="shared" si="9"/>
        <v>#VALUE!</v>
      </c>
      <c r="Z305" s="6"/>
      <c r="AA305" s="6"/>
    </row>
    <row r="306" spans="1:27" ht="28.95" customHeight="1" x14ac:dyDescent="0.3">
      <c r="A306" s="91"/>
      <c r="B306" s="91"/>
      <c r="C306" s="80"/>
      <c r="D306" s="91"/>
      <c r="E306" s="80"/>
      <c r="F306" s="6"/>
      <c r="G306" s="6"/>
      <c r="H306" s="25"/>
      <c r="I306" s="133"/>
      <c r="J306" s="6"/>
      <c r="K306" s="6"/>
      <c r="L306" s="6"/>
      <c r="M306" s="6"/>
      <c r="N306" s="84"/>
      <c r="O306" s="80" t="str">
        <f>IF(N306="","",VLOOKUP(N306,ROLES!B:C,2,FALSE))</f>
        <v/>
      </c>
      <c r="P306" s="15"/>
      <c r="Q306" s="15"/>
      <c r="R306" s="16">
        <f t="shared" si="10"/>
        <v>0</v>
      </c>
      <c r="S306" s="16"/>
      <c r="T306" s="80" t="str">
        <f>IF(S306="","",VLOOKUP(S306,VALORACION!F:G,2,FALSE))</f>
        <v/>
      </c>
      <c r="U306" s="11"/>
      <c r="V306" s="80" t="str">
        <f>IF(U306="","",VLOOKUP(U306,ROLES!G:H,2,FALSE))</f>
        <v/>
      </c>
      <c r="W306" s="11"/>
      <c r="X306" s="80" t="str">
        <f>IF(W306="","",VLOOKUP(W306,ROLES!I:J,2,FALSE))</f>
        <v/>
      </c>
      <c r="Y306" s="95" t="e">
        <f t="shared" si="9"/>
        <v>#VALUE!</v>
      </c>
      <c r="Z306" s="6"/>
      <c r="AA306" s="6"/>
    </row>
    <row r="307" spans="1:27" ht="28.95" customHeight="1" x14ac:dyDescent="0.3">
      <c r="A307" s="91"/>
      <c r="B307" s="91"/>
      <c r="C307" s="80"/>
      <c r="D307" s="91"/>
      <c r="E307" s="80"/>
      <c r="F307" s="6"/>
      <c r="G307" s="6"/>
      <c r="H307" s="25"/>
      <c r="I307" s="133"/>
      <c r="J307" s="6"/>
      <c r="K307" s="6"/>
      <c r="L307" s="6"/>
      <c r="M307" s="6"/>
      <c r="N307" s="84"/>
      <c r="O307" s="80" t="str">
        <f>IF(N307="","",VLOOKUP(N307,ROLES!B:C,2,FALSE))</f>
        <v/>
      </c>
      <c r="P307" s="15"/>
      <c r="Q307" s="15"/>
      <c r="R307" s="16">
        <f t="shared" si="10"/>
        <v>0</v>
      </c>
      <c r="S307" s="16"/>
      <c r="T307" s="80" t="str">
        <f>IF(S307="","",VLOOKUP(S307,VALORACION!F:G,2,FALSE))</f>
        <v/>
      </c>
      <c r="U307" s="11"/>
      <c r="V307" s="80" t="str">
        <f>IF(U307="","",VLOOKUP(U307,ROLES!G:H,2,FALSE))</f>
        <v/>
      </c>
      <c r="W307" s="11"/>
      <c r="X307" s="80" t="str">
        <f>IF(W307="","",VLOOKUP(W307,ROLES!I:J,2,FALSE))</f>
        <v/>
      </c>
      <c r="Y307" s="95" t="e">
        <f t="shared" si="9"/>
        <v>#VALUE!</v>
      </c>
      <c r="Z307" s="6"/>
      <c r="AA307" s="6"/>
    </row>
    <row r="308" spans="1:27" ht="28.95" customHeight="1" x14ac:dyDescent="0.3">
      <c r="A308" s="91"/>
      <c r="B308" s="91"/>
      <c r="C308" s="80"/>
      <c r="D308" s="91"/>
      <c r="E308" s="80"/>
      <c r="F308" s="6"/>
      <c r="G308" s="6"/>
      <c r="H308" s="25"/>
      <c r="I308" s="133"/>
      <c r="J308" s="6"/>
      <c r="K308" s="6"/>
      <c r="L308" s="6"/>
      <c r="M308" s="6"/>
      <c r="N308" s="84"/>
      <c r="O308" s="80" t="str">
        <f>IF(N308="","",VLOOKUP(N308,ROLES!B:C,2,FALSE))</f>
        <v/>
      </c>
      <c r="P308" s="15"/>
      <c r="Q308" s="15"/>
      <c r="R308" s="16">
        <f t="shared" si="10"/>
        <v>0</v>
      </c>
      <c r="S308" s="16"/>
      <c r="T308" s="80" t="str">
        <f>IF(S308="","",VLOOKUP(S308,VALORACION!F:G,2,FALSE))</f>
        <v/>
      </c>
      <c r="U308" s="11"/>
      <c r="V308" s="80" t="str">
        <f>IF(U308="","",VLOOKUP(U308,ROLES!G:H,2,FALSE))</f>
        <v/>
      </c>
      <c r="W308" s="11"/>
      <c r="X308" s="80" t="str">
        <f>IF(W308="","",VLOOKUP(W308,ROLES!I:J,2,FALSE))</f>
        <v/>
      </c>
      <c r="Y308" s="95" t="e">
        <f t="shared" si="9"/>
        <v>#VALUE!</v>
      </c>
      <c r="Z308" s="6"/>
      <c r="AA308" s="6"/>
    </row>
    <row r="309" spans="1:27" ht="28.95" customHeight="1" x14ac:dyDescent="0.3">
      <c r="A309" s="91"/>
      <c r="B309" s="91"/>
      <c r="C309" s="80"/>
      <c r="D309" s="91"/>
      <c r="E309" s="80"/>
      <c r="F309" s="6"/>
      <c r="G309" s="6"/>
      <c r="H309" s="25"/>
      <c r="I309" s="133"/>
      <c r="J309" s="6"/>
      <c r="K309" s="6"/>
      <c r="L309" s="6"/>
      <c r="M309" s="6"/>
      <c r="N309" s="84"/>
      <c r="O309" s="80" t="str">
        <f>IF(N309="","",VLOOKUP(N309,ROLES!B:C,2,FALSE))</f>
        <v/>
      </c>
      <c r="P309" s="15"/>
      <c r="Q309" s="15"/>
      <c r="R309" s="16">
        <f t="shared" si="10"/>
        <v>0</v>
      </c>
      <c r="S309" s="16"/>
      <c r="T309" s="80" t="str">
        <f>IF(S309="","",VLOOKUP(S309,VALORACION!F:G,2,FALSE))</f>
        <v/>
      </c>
      <c r="U309" s="11"/>
      <c r="V309" s="80" t="str">
        <f>IF(U309="","",VLOOKUP(U309,ROLES!G:H,2,FALSE))</f>
        <v/>
      </c>
      <c r="W309" s="11"/>
      <c r="X309" s="80" t="str">
        <f>IF(W309="","",VLOOKUP(W309,ROLES!I:J,2,FALSE))</f>
        <v/>
      </c>
      <c r="Y309" s="95" t="e">
        <f t="shared" si="9"/>
        <v>#VALUE!</v>
      </c>
      <c r="Z309" s="6"/>
      <c r="AA309" s="6"/>
    </row>
    <row r="310" spans="1:27" ht="28.95" customHeight="1" x14ac:dyDescent="0.3">
      <c r="A310" s="91"/>
      <c r="B310" s="91"/>
      <c r="C310" s="80"/>
      <c r="D310" s="91"/>
      <c r="E310" s="80"/>
      <c r="F310" s="6"/>
      <c r="G310" s="6"/>
      <c r="H310" s="25"/>
      <c r="I310" s="133"/>
      <c r="J310" s="6"/>
      <c r="K310" s="6"/>
      <c r="L310" s="6"/>
      <c r="M310" s="6"/>
      <c r="N310" s="84"/>
      <c r="O310" s="80" t="str">
        <f>IF(N310="","",VLOOKUP(N310,ROLES!B:C,2,FALSE))</f>
        <v/>
      </c>
      <c r="P310" s="15"/>
      <c r="Q310" s="15"/>
      <c r="R310" s="16">
        <f t="shared" si="10"/>
        <v>0</v>
      </c>
      <c r="S310" s="16"/>
      <c r="T310" s="80" t="str">
        <f>IF(S310="","",VLOOKUP(S310,VALORACION!F:G,2,FALSE))</f>
        <v/>
      </c>
      <c r="U310" s="11"/>
      <c r="V310" s="80" t="str">
        <f>IF(U310="","",VLOOKUP(U310,ROLES!G:H,2,FALSE))</f>
        <v/>
      </c>
      <c r="W310" s="11"/>
      <c r="X310" s="80" t="str">
        <f>IF(W310="","",VLOOKUP(W310,ROLES!I:J,2,FALSE))</f>
        <v/>
      </c>
      <c r="Y310" s="95" t="e">
        <f t="shared" si="9"/>
        <v>#VALUE!</v>
      </c>
      <c r="Z310" s="6"/>
      <c r="AA310" s="6"/>
    </row>
    <row r="311" spans="1:27" ht="28.95" customHeight="1" x14ac:dyDescent="0.3">
      <c r="A311" s="91"/>
      <c r="B311" s="91"/>
      <c r="C311" s="80"/>
      <c r="D311" s="91"/>
      <c r="E311" s="80"/>
      <c r="F311" s="6"/>
      <c r="G311" s="6"/>
      <c r="H311" s="25"/>
      <c r="I311" s="133"/>
      <c r="J311" s="6"/>
      <c r="K311" s="6"/>
      <c r="L311" s="6"/>
      <c r="M311" s="6"/>
      <c r="N311" s="84"/>
      <c r="O311" s="80" t="str">
        <f>IF(N311="","",VLOOKUP(N311,ROLES!B:C,2,FALSE))</f>
        <v/>
      </c>
      <c r="P311" s="15"/>
      <c r="Q311" s="15"/>
      <c r="R311" s="16">
        <f t="shared" si="10"/>
        <v>0</v>
      </c>
      <c r="S311" s="16"/>
      <c r="T311" s="80" t="str">
        <f>IF(S311="","",VLOOKUP(S311,VALORACION!F:G,2,FALSE))</f>
        <v/>
      </c>
      <c r="U311" s="11"/>
      <c r="V311" s="80" t="str">
        <f>IF(U311="","",VLOOKUP(U311,ROLES!G:H,2,FALSE))</f>
        <v/>
      </c>
      <c r="W311" s="11"/>
      <c r="X311" s="80" t="str">
        <f>IF(W311="","",VLOOKUP(W311,ROLES!I:J,2,FALSE))</f>
        <v/>
      </c>
      <c r="Y311" s="95" t="e">
        <f t="shared" si="9"/>
        <v>#VALUE!</v>
      </c>
      <c r="Z311" s="6"/>
      <c r="AA311" s="6"/>
    </row>
    <row r="312" spans="1:27" ht="28.95" customHeight="1" x14ac:dyDescent="0.3">
      <c r="A312" s="91"/>
      <c r="B312" s="91"/>
      <c r="C312" s="80"/>
      <c r="D312" s="91"/>
      <c r="E312" s="80"/>
      <c r="F312" s="6"/>
      <c r="G312" s="6"/>
      <c r="H312" s="25"/>
      <c r="I312" s="133"/>
      <c r="J312" s="6"/>
      <c r="K312" s="6"/>
      <c r="L312" s="6"/>
      <c r="M312" s="6"/>
      <c r="N312" s="84"/>
      <c r="O312" s="80" t="str">
        <f>IF(N312="","",VLOOKUP(N312,ROLES!B:C,2,FALSE))</f>
        <v/>
      </c>
      <c r="P312" s="15"/>
      <c r="Q312" s="15"/>
      <c r="R312" s="16">
        <f t="shared" si="10"/>
        <v>0</v>
      </c>
      <c r="S312" s="16"/>
      <c r="T312" s="80" t="str">
        <f>IF(S312="","",VLOOKUP(S312,VALORACION!F:G,2,FALSE))</f>
        <v/>
      </c>
      <c r="U312" s="11"/>
      <c r="V312" s="80" t="str">
        <f>IF(U312="","",VLOOKUP(U312,ROLES!G:H,2,FALSE))</f>
        <v/>
      </c>
      <c r="W312" s="11"/>
      <c r="X312" s="80" t="str">
        <f>IF(W312="","",VLOOKUP(W312,ROLES!I:J,2,FALSE))</f>
        <v/>
      </c>
      <c r="Y312" s="95" t="e">
        <f t="shared" si="9"/>
        <v>#VALUE!</v>
      </c>
      <c r="Z312" s="6"/>
      <c r="AA312" s="6"/>
    </row>
    <row r="313" spans="1:27" ht="28.95" customHeight="1" x14ac:dyDescent="0.3">
      <c r="A313" s="91"/>
      <c r="B313" s="91"/>
      <c r="C313" s="80"/>
      <c r="D313" s="91"/>
      <c r="E313" s="80"/>
      <c r="F313" s="6"/>
      <c r="G313" s="6"/>
      <c r="H313" s="25"/>
      <c r="I313" s="133"/>
      <c r="J313" s="6"/>
      <c r="K313" s="6"/>
      <c r="L313" s="6"/>
      <c r="M313" s="6"/>
      <c r="N313" s="84"/>
      <c r="O313" s="80" t="str">
        <f>IF(N313="","",VLOOKUP(N313,ROLES!B:C,2,FALSE))</f>
        <v/>
      </c>
      <c r="P313" s="15"/>
      <c r="Q313" s="15"/>
      <c r="R313" s="16">
        <f t="shared" si="10"/>
        <v>0</v>
      </c>
      <c r="S313" s="16"/>
      <c r="T313" s="80" t="str">
        <f>IF(S313="","",VLOOKUP(S313,VALORACION!F:G,2,FALSE))</f>
        <v/>
      </c>
      <c r="U313" s="11"/>
      <c r="V313" s="80" t="str">
        <f>IF(U313="","",VLOOKUP(U313,ROLES!G:H,2,FALSE))</f>
        <v/>
      </c>
      <c r="W313" s="11"/>
      <c r="X313" s="80" t="str">
        <f>IF(W313="","",VLOOKUP(W313,ROLES!I:J,2,FALSE))</f>
        <v/>
      </c>
      <c r="Y313" s="95" t="e">
        <f t="shared" si="9"/>
        <v>#VALUE!</v>
      </c>
      <c r="Z313" s="6"/>
      <c r="AA313" s="6"/>
    </row>
    <row r="314" spans="1:27" ht="28.95" customHeight="1" x14ac:dyDescent="0.3">
      <c r="A314" s="91"/>
      <c r="B314" s="91"/>
      <c r="C314" s="80"/>
      <c r="D314" s="91"/>
      <c r="E314" s="80"/>
      <c r="F314" s="6"/>
      <c r="G314" s="6"/>
      <c r="H314" s="25"/>
      <c r="I314" s="133"/>
      <c r="J314" s="6"/>
      <c r="K314" s="6"/>
      <c r="L314" s="6"/>
      <c r="M314" s="6"/>
      <c r="N314" s="84"/>
      <c r="O314" s="80" t="str">
        <f>IF(N314="","",VLOOKUP(N314,ROLES!B:C,2,FALSE))</f>
        <v/>
      </c>
      <c r="P314" s="15"/>
      <c r="Q314" s="15"/>
      <c r="R314" s="16">
        <f t="shared" si="10"/>
        <v>0</v>
      </c>
      <c r="S314" s="16"/>
      <c r="T314" s="80" t="str">
        <f>IF(S314="","",VLOOKUP(S314,VALORACION!F:G,2,FALSE))</f>
        <v/>
      </c>
      <c r="U314" s="11"/>
      <c r="V314" s="80" t="str">
        <f>IF(U314="","",VLOOKUP(U314,ROLES!G:H,2,FALSE))</f>
        <v/>
      </c>
      <c r="W314" s="11"/>
      <c r="X314" s="80" t="str">
        <f>IF(W314="","",VLOOKUP(W314,ROLES!I:J,2,FALSE))</f>
        <v/>
      </c>
      <c r="Y314" s="95" t="e">
        <f t="shared" si="9"/>
        <v>#VALUE!</v>
      </c>
      <c r="Z314" s="6"/>
      <c r="AA314" s="6"/>
    </row>
    <row r="315" spans="1:27" ht="28.95" customHeight="1" x14ac:dyDescent="0.3">
      <c r="A315" s="91"/>
      <c r="B315" s="91"/>
      <c r="C315" s="80"/>
      <c r="D315" s="91"/>
      <c r="E315" s="80"/>
      <c r="F315" s="6"/>
      <c r="G315" s="6"/>
      <c r="H315" s="25"/>
      <c r="I315" s="133"/>
      <c r="J315" s="6"/>
      <c r="K315" s="6"/>
      <c r="L315" s="6"/>
      <c r="M315" s="6"/>
      <c r="N315" s="84"/>
      <c r="O315" s="80" t="str">
        <f>IF(N315="","",VLOOKUP(N315,ROLES!B:C,2,FALSE))</f>
        <v/>
      </c>
      <c r="P315" s="15"/>
      <c r="Q315" s="15"/>
      <c r="R315" s="16">
        <f t="shared" si="10"/>
        <v>0</v>
      </c>
      <c r="S315" s="16"/>
      <c r="T315" s="80" t="str">
        <f>IF(S315="","",VLOOKUP(S315,VALORACION!F:G,2,FALSE))</f>
        <v/>
      </c>
      <c r="U315" s="11"/>
      <c r="V315" s="80" t="str">
        <f>IF(U315="","",VLOOKUP(U315,ROLES!G:H,2,FALSE))</f>
        <v/>
      </c>
      <c r="W315" s="11"/>
      <c r="X315" s="80" t="str">
        <f>IF(W315="","",VLOOKUP(W315,ROLES!I:J,2,FALSE))</f>
        <v/>
      </c>
      <c r="Y315" s="95" t="e">
        <f t="shared" si="9"/>
        <v>#VALUE!</v>
      </c>
      <c r="Z315" s="6"/>
      <c r="AA315" s="6"/>
    </row>
    <row r="316" spans="1:27" ht="28.95" customHeight="1" x14ac:dyDescent="0.3">
      <c r="A316" s="91"/>
      <c r="B316" s="91"/>
      <c r="C316" s="80"/>
      <c r="D316" s="91"/>
      <c r="E316" s="80"/>
      <c r="F316" s="6"/>
      <c r="G316" s="6"/>
      <c r="H316" s="25"/>
      <c r="I316" s="133"/>
      <c r="J316" s="6"/>
      <c r="K316" s="6"/>
      <c r="L316" s="6"/>
      <c r="M316" s="6"/>
      <c r="N316" s="84"/>
      <c r="O316" s="80" t="str">
        <f>IF(N316="","",VLOOKUP(N316,ROLES!B:C,2,FALSE))</f>
        <v/>
      </c>
      <c r="P316" s="15"/>
      <c r="Q316" s="15"/>
      <c r="R316" s="16">
        <f t="shared" si="10"/>
        <v>0</v>
      </c>
      <c r="S316" s="16"/>
      <c r="T316" s="80" t="str">
        <f>IF(S316="","",VLOOKUP(S316,VALORACION!F:G,2,FALSE))</f>
        <v/>
      </c>
      <c r="U316" s="11"/>
      <c r="V316" s="80" t="str">
        <f>IF(U316="","",VLOOKUP(U316,ROLES!G:H,2,FALSE))</f>
        <v/>
      </c>
      <c r="W316" s="11"/>
      <c r="X316" s="80" t="str">
        <f>IF(W316="","",VLOOKUP(W316,ROLES!I:J,2,FALSE))</f>
        <v/>
      </c>
      <c r="Y316" s="95" t="e">
        <f t="shared" si="9"/>
        <v>#VALUE!</v>
      </c>
      <c r="Z316" s="6"/>
      <c r="AA316" s="6"/>
    </row>
    <row r="317" spans="1:27" ht="28.95" customHeight="1" x14ac:dyDescent="0.3">
      <c r="A317" s="91"/>
      <c r="B317" s="91"/>
      <c r="C317" s="80"/>
      <c r="D317" s="91"/>
      <c r="E317" s="80"/>
      <c r="F317" s="6"/>
      <c r="G317" s="6"/>
      <c r="H317" s="25"/>
      <c r="I317" s="133"/>
      <c r="J317" s="6"/>
      <c r="K317" s="6"/>
      <c r="L317" s="6"/>
      <c r="M317" s="6"/>
      <c r="N317" s="84"/>
      <c r="O317" s="80" t="str">
        <f>IF(N317="","",VLOOKUP(N317,ROLES!B:C,2,FALSE))</f>
        <v/>
      </c>
      <c r="P317" s="15"/>
      <c r="Q317" s="15"/>
      <c r="R317" s="16">
        <f t="shared" si="10"/>
        <v>0</v>
      </c>
      <c r="S317" s="16"/>
      <c r="T317" s="80" t="str">
        <f>IF(S317="","",VLOOKUP(S317,VALORACION!F:G,2,FALSE))</f>
        <v/>
      </c>
      <c r="U317" s="11"/>
      <c r="V317" s="80" t="str">
        <f>IF(U317="","",VLOOKUP(U317,ROLES!G:H,2,FALSE))</f>
        <v/>
      </c>
      <c r="W317" s="11"/>
      <c r="X317" s="80" t="str">
        <f>IF(W317="","",VLOOKUP(W317,ROLES!I:J,2,FALSE))</f>
        <v/>
      </c>
      <c r="Y317" s="95" t="e">
        <f t="shared" si="9"/>
        <v>#VALUE!</v>
      </c>
      <c r="Z317" s="6"/>
      <c r="AA317" s="6"/>
    </row>
    <row r="318" spans="1:27" ht="28.95" customHeight="1" x14ac:dyDescent="0.3">
      <c r="A318" s="91"/>
      <c r="B318" s="91"/>
      <c r="C318" s="80"/>
      <c r="D318" s="91"/>
      <c r="E318" s="80"/>
      <c r="F318" s="6"/>
      <c r="G318" s="6"/>
      <c r="H318" s="25"/>
      <c r="I318" s="133"/>
      <c r="J318" s="6"/>
      <c r="K318" s="6"/>
      <c r="L318" s="6"/>
      <c r="M318" s="6"/>
      <c r="N318" s="84"/>
      <c r="O318" s="80" t="str">
        <f>IF(N318="","",VLOOKUP(N318,ROLES!B:C,2,FALSE))</f>
        <v/>
      </c>
      <c r="P318" s="15"/>
      <c r="Q318" s="15"/>
      <c r="R318" s="16">
        <f t="shared" si="10"/>
        <v>0</v>
      </c>
      <c r="S318" s="16"/>
      <c r="T318" s="80" t="str">
        <f>IF(S318="","",VLOOKUP(S318,VALORACION!F:G,2,FALSE))</f>
        <v/>
      </c>
      <c r="U318" s="11"/>
      <c r="V318" s="80" t="str">
        <f>IF(U318="","",VLOOKUP(U318,ROLES!G:H,2,FALSE))</f>
        <v/>
      </c>
      <c r="W318" s="11"/>
      <c r="X318" s="80" t="str">
        <f>IF(W318="","",VLOOKUP(W318,ROLES!I:J,2,FALSE))</f>
        <v/>
      </c>
      <c r="Y318" s="95" t="e">
        <f t="shared" si="9"/>
        <v>#VALUE!</v>
      </c>
      <c r="Z318" s="6"/>
      <c r="AA318" s="6"/>
    </row>
    <row r="319" spans="1:27" ht="28.95" customHeight="1" x14ac:dyDescent="0.3">
      <c r="A319" s="91"/>
      <c r="B319" s="91"/>
      <c r="C319" s="80"/>
      <c r="D319" s="91"/>
      <c r="E319" s="80"/>
      <c r="F319" s="6"/>
      <c r="G319" s="6"/>
      <c r="H319" s="25"/>
      <c r="I319" s="133"/>
      <c r="J319" s="6"/>
      <c r="K319" s="6"/>
      <c r="L319" s="6"/>
      <c r="M319" s="6"/>
      <c r="N319" s="84"/>
      <c r="O319" s="80" t="str">
        <f>IF(N319="","",VLOOKUP(N319,ROLES!B:C,2,FALSE))</f>
        <v/>
      </c>
      <c r="P319" s="15"/>
      <c r="Q319" s="15"/>
      <c r="R319" s="16">
        <f t="shared" si="10"/>
        <v>0</v>
      </c>
      <c r="S319" s="16"/>
      <c r="T319" s="80" t="str">
        <f>IF(S319="","",VLOOKUP(S319,VALORACION!F:G,2,FALSE))</f>
        <v/>
      </c>
      <c r="U319" s="11"/>
      <c r="V319" s="80" t="str">
        <f>IF(U319="","",VLOOKUP(U319,ROLES!G:H,2,FALSE))</f>
        <v/>
      </c>
      <c r="W319" s="11"/>
      <c r="X319" s="80" t="str">
        <f>IF(W319="","",VLOOKUP(W319,ROLES!I:J,2,FALSE))</f>
        <v/>
      </c>
      <c r="Y319" s="95" t="e">
        <f t="shared" si="9"/>
        <v>#VALUE!</v>
      </c>
      <c r="Z319" s="6"/>
      <c r="AA319" s="6"/>
    </row>
    <row r="320" spans="1:27" ht="28.95" customHeight="1" x14ac:dyDescent="0.3">
      <c r="A320" s="91"/>
      <c r="B320" s="91"/>
      <c r="C320" s="80"/>
      <c r="D320" s="91"/>
      <c r="E320" s="80"/>
      <c r="F320" s="6"/>
      <c r="G320" s="6"/>
      <c r="H320" s="25"/>
      <c r="I320" s="133"/>
      <c r="J320" s="6"/>
      <c r="K320" s="6"/>
      <c r="L320" s="6"/>
      <c r="M320" s="6"/>
      <c r="N320" s="84"/>
      <c r="O320" s="80" t="str">
        <f>IF(N320="","",VLOOKUP(N320,ROLES!B:C,2,FALSE))</f>
        <v/>
      </c>
      <c r="P320" s="15"/>
      <c r="Q320" s="15"/>
      <c r="R320" s="16">
        <f t="shared" si="10"/>
        <v>0</v>
      </c>
      <c r="S320" s="16"/>
      <c r="T320" s="80" t="str">
        <f>IF(S320="","",VLOOKUP(S320,VALORACION!F:G,2,FALSE))</f>
        <v/>
      </c>
      <c r="U320" s="11"/>
      <c r="V320" s="80" t="str">
        <f>IF(U320="","",VLOOKUP(U320,ROLES!G:H,2,FALSE))</f>
        <v/>
      </c>
      <c r="W320" s="11"/>
      <c r="X320" s="80" t="str">
        <f>IF(W320="","",VLOOKUP(W320,ROLES!I:J,2,FALSE))</f>
        <v/>
      </c>
      <c r="Y320" s="95" t="e">
        <f t="shared" si="9"/>
        <v>#VALUE!</v>
      </c>
      <c r="Z320" s="6"/>
      <c r="AA320" s="6"/>
    </row>
    <row r="321" spans="1:27" ht="28.95" customHeight="1" x14ac:dyDescent="0.3">
      <c r="A321" s="91"/>
      <c r="B321" s="91"/>
      <c r="C321" s="80"/>
      <c r="D321" s="91"/>
      <c r="E321" s="80"/>
      <c r="F321" s="6"/>
      <c r="G321" s="6"/>
      <c r="H321" s="25"/>
      <c r="I321" s="133"/>
      <c r="J321" s="6"/>
      <c r="K321" s="6"/>
      <c r="L321" s="6"/>
      <c r="M321" s="6"/>
      <c r="N321" s="84"/>
      <c r="O321" s="80" t="str">
        <f>IF(N321="","",VLOOKUP(N321,ROLES!B:C,2,FALSE))</f>
        <v/>
      </c>
      <c r="P321" s="15"/>
      <c r="Q321" s="15"/>
      <c r="R321" s="16">
        <f t="shared" si="10"/>
        <v>0</v>
      </c>
      <c r="S321" s="16"/>
      <c r="T321" s="80" t="str">
        <f>IF(S321="","",VLOOKUP(S321,VALORACION!F:G,2,FALSE))</f>
        <v/>
      </c>
      <c r="U321" s="11"/>
      <c r="V321" s="80" t="str">
        <f>IF(U321="","",VLOOKUP(U321,ROLES!G:H,2,FALSE))</f>
        <v/>
      </c>
      <c r="W321" s="11"/>
      <c r="X321" s="80" t="str">
        <f>IF(W321="","",VLOOKUP(W321,ROLES!I:J,2,FALSE))</f>
        <v/>
      </c>
      <c r="Y321" s="95" t="e">
        <f t="shared" si="9"/>
        <v>#VALUE!</v>
      </c>
      <c r="Z321" s="6"/>
      <c r="AA321" s="6"/>
    </row>
    <row r="322" spans="1:27" ht="28.95" customHeight="1" x14ac:dyDescent="0.3">
      <c r="A322" s="91"/>
      <c r="B322" s="91"/>
      <c r="C322" s="80"/>
      <c r="D322" s="91"/>
      <c r="E322" s="80"/>
      <c r="F322" s="6"/>
      <c r="G322" s="6"/>
      <c r="H322" s="25"/>
      <c r="I322" s="133"/>
      <c r="J322" s="6"/>
      <c r="K322" s="6"/>
      <c r="L322" s="6"/>
      <c r="M322" s="6"/>
      <c r="N322" s="84"/>
      <c r="O322" s="80" t="str">
        <f>IF(N322="","",VLOOKUP(N322,ROLES!B:C,2,FALSE))</f>
        <v/>
      </c>
      <c r="P322" s="15"/>
      <c r="Q322" s="15"/>
      <c r="R322" s="16">
        <f t="shared" si="10"/>
        <v>0</v>
      </c>
      <c r="S322" s="16"/>
      <c r="T322" s="80" t="str">
        <f>IF(S322="","",VLOOKUP(S322,VALORACION!F:G,2,FALSE))</f>
        <v/>
      </c>
      <c r="U322" s="11"/>
      <c r="V322" s="80" t="str">
        <f>IF(U322="","",VLOOKUP(U322,ROLES!G:H,2,FALSE))</f>
        <v/>
      </c>
      <c r="W322" s="11"/>
      <c r="X322" s="80" t="str">
        <f>IF(W322="","",VLOOKUP(W322,ROLES!I:J,2,FALSE))</f>
        <v/>
      </c>
      <c r="Y322" s="95" t="e">
        <f t="shared" si="9"/>
        <v>#VALUE!</v>
      </c>
      <c r="Z322" s="6"/>
      <c r="AA322" s="6"/>
    </row>
    <row r="323" spans="1:27" ht="28.95" customHeight="1" x14ac:dyDescent="0.3">
      <c r="A323" s="91"/>
      <c r="B323" s="91"/>
      <c r="C323" s="80"/>
      <c r="D323" s="91"/>
      <c r="E323" s="80"/>
      <c r="F323" s="6"/>
      <c r="G323" s="6"/>
      <c r="H323" s="25"/>
      <c r="I323" s="133"/>
      <c r="J323" s="6"/>
      <c r="K323" s="6"/>
      <c r="L323" s="6"/>
      <c r="M323" s="6"/>
      <c r="N323" s="84"/>
      <c r="O323" s="80" t="str">
        <f>IF(N323="","",VLOOKUP(N323,ROLES!B:C,2,FALSE))</f>
        <v/>
      </c>
      <c r="P323" s="15"/>
      <c r="Q323" s="15"/>
      <c r="R323" s="16">
        <f t="shared" si="10"/>
        <v>0</v>
      </c>
      <c r="S323" s="16"/>
      <c r="T323" s="80" t="str">
        <f>IF(S323="","",VLOOKUP(S323,VALORACION!F:G,2,FALSE))</f>
        <v/>
      </c>
      <c r="U323" s="11"/>
      <c r="V323" s="80" t="str">
        <f>IF(U323="","",VLOOKUP(U323,ROLES!G:H,2,FALSE))</f>
        <v/>
      </c>
      <c r="W323" s="11"/>
      <c r="X323" s="80" t="str">
        <f>IF(W323="","",VLOOKUP(W323,ROLES!I:J,2,FALSE))</f>
        <v/>
      </c>
      <c r="Y323" s="95" t="e">
        <f t="shared" si="9"/>
        <v>#VALUE!</v>
      </c>
      <c r="Z323" s="6"/>
      <c r="AA323" s="6"/>
    </row>
    <row r="324" spans="1:27" ht="28.95" customHeight="1" x14ac:dyDescent="0.3">
      <c r="A324" s="91"/>
      <c r="B324" s="91"/>
      <c r="C324" s="80"/>
      <c r="D324" s="91"/>
      <c r="E324" s="80"/>
      <c r="F324" s="6"/>
      <c r="G324" s="6"/>
      <c r="H324" s="25"/>
      <c r="I324" s="133"/>
      <c r="J324" s="6"/>
      <c r="K324" s="6"/>
      <c r="L324" s="6"/>
      <c r="M324" s="6"/>
      <c r="N324" s="84"/>
      <c r="O324" s="80" t="str">
        <f>IF(N324="","",VLOOKUP(N324,ROLES!B:C,2,FALSE))</f>
        <v/>
      </c>
      <c r="P324" s="15"/>
      <c r="Q324" s="15"/>
      <c r="R324" s="16">
        <f t="shared" si="10"/>
        <v>0</v>
      </c>
      <c r="S324" s="16"/>
      <c r="T324" s="80" t="str">
        <f>IF(S324="","",VLOOKUP(S324,VALORACION!F:G,2,FALSE))</f>
        <v/>
      </c>
      <c r="U324" s="11"/>
      <c r="V324" s="80" t="str">
        <f>IF(U324="","",VLOOKUP(U324,ROLES!G:H,2,FALSE))</f>
        <v/>
      </c>
      <c r="W324" s="11"/>
      <c r="X324" s="80" t="str">
        <f>IF(W324="","",VLOOKUP(W324,ROLES!I:J,2,FALSE))</f>
        <v/>
      </c>
      <c r="Y324" s="95" t="e">
        <f t="shared" si="9"/>
        <v>#VALUE!</v>
      </c>
      <c r="Z324" s="6"/>
      <c r="AA324" s="6"/>
    </row>
    <row r="325" spans="1:27" ht="28.95" customHeight="1" x14ac:dyDescent="0.3">
      <c r="A325" s="91"/>
      <c r="B325" s="91"/>
      <c r="C325" s="80"/>
      <c r="D325" s="91"/>
      <c r="E325" s="80"/>
      <c r="F325" s="6"/>
      <c r="G325" s="6"/>
      <c r="H325" s="25"/>
      <c r="I325" s="133"/>
      <c r="J325" s="6"/>
      <c r="K325" s="6"/>
      <c r="L325" s="6"/>
      <c r="M325" s="6"/>
      <c r="N325" s="84"/>
      <c r="O325" s="80" t="str">
        <f>IF(N325="","",VLOOKUP(N325,ROLES!B:C,2,FALSE))</f>
        <v/>
      </c>
      <c r="P325" s="15"/>
      <c r="Q325" s="15"/>
      <c r="R325" s="16">
        <f t="shared" si="10"/>
        <v>0</v>
      </c>
      <c r="S325" s="16"/>
      <c r="T325" s="80" t="str">
        <f>IF(S325="","",VLOOKUP(S325,VALORACION!F:G,2,FALSE))</f>
        <v/>
      </c>
      <c r="U325" s="11"/>
      <c r="V325" s="80" t="str">
        <f>IF(U325="","",VLOOKUP(U325,ROLES!G:H,2,FALSE))</f>
        <v/>
      </c>
      <c r="W325" s="11"/>
      <c r="X325" s="80" t="str">
        <f>IF(W325="","",VLOOKUP(W325,ROLES!I:J,2,FALSE))</f>
        <v/>
      </c>
      <c r="Y325" s="95" t="e">
        <f t="shared" ref="Y325:Y388" si="11">(VALUE(O325)+VALUE(V325)+VALUE(X325)+VALUE(T325))/3</f>
        <v>#VALUE!</v>
      </c>
      <c r="Z325" s="6"/>
      <c r="AA325" s="6"/>
    </row>
    <row r="326" spans="1:27" ht="28.95" customHeight="1" x14ac:dyDescent="0.3">
      <c r="A326" s="91"/>
      <c r="B326" s="91"/>
      <c r="C326" s="80"/>
      <c r="D326" s="91"/>
      <c r="E326" s="80"/>
      <c r="F326" s="6"/>
      <c r="G326" s="6"/>
      <c r="H326" s="25"/>
      <c r="I326" s="133"/>
      <c r="J326" s="6"/>
      <c r="K326" s="6"/>
      <c r="L326" s="6"/>
      <c r="M326" s="6"/>
      <c r="N326" s="84"/>
      <c r="O326" s="80" t="str">
        <f>IF(N326="","",VLOOKUP(N326,ROLES!B:C,2,FALSE))</f>
        <v/>
      </c>
      <c r="P326" s="15"/>
      <c r="Q326" s="15"/>
      <c r="R326" s="16">
        <f t="shared" si="10"/>
        <v>0</v>
      </c>
      <c r="S326" s="16"/>
      <c r="T326" s="80" t="str">
        <f>IF(S326="","",VLOOKUP(S326,VALORACION!F:G,2,FALSE))</f>
        <v/>
      </c>
      <c r="U326" s="11"/>
      <c r="V326" s="80" t="str">
        <f>IF(U326="","",VLOOKUP(U326,ROLES!G:H,2,FALSE))</f>
        <v/>
      </c>
      <c r="W326" s="11"/>
      <c r="X326" s="80" t="str">
        <f>IF(W326="","",VLOOKUP(W326,ROLES!I:J,2,FALSE))</f>
        <v/>
      </c>
      <c r="Y326" s="95" t="e">
        <f t="shared" si="11"/>
        <v>#VALUE!</v>
      </c>
      <c r="Z326" s="6"/>
      <c r="AA326" s="6"/>
    </row>
    <row r="327" spans="1:27" ht="28.95" customHeight="1" x14ac:dyDescent="0.3">
      <c r="A327" s="91"/>
      <c r="B327" s="91"/>
      <c r="C327" s="80"/>
      <c r="D327" s="91"/>
      <c r="E327" s="80"/>
      <c r="F327" s="6"/>
      <c r="G327" s="6"/>
      <c r="H327" s="25"/>
      <c r="I327" s="133"/>
      <c r="J327" s="6"/>
      <c r="K327" s="6"/>
      <c r="L327" s="6"/>
      <c r="M327" s="6"/>
      <c r="N327" s="84"/>
      <c r="O327" s="80" t="str">
        <f>IF(N327="","",VLOOKUP(N327,ROLES!B:C,2,FALSE))</f>
        <v/>
      </c>
      <c r="P327" s="15"/>
      <c r="Q327" s="15"/>
      <c r="R327" s="16">
        <f t="shared" ref="R327:R390" si="12">DATEDIF(P327,Q327,"m")</f>
        <v>0</v>
      </c>
      <c r="S327" s="16"/>
      <c r="T327" s="80" t="str">
        <f>IF(S327="","",VLOOKUP(S327,VALORACION!F:G,2,FALSE))</f>
        <v/>
      </c>
      <c r="U327" s="11"/>
      <c r="V327" s="80" t="str">
        <f>IF(U327="","",VLOOKUP(U327,ROLES!G:H,2,FALSE))</f>
        <v/>
      </c>
      <c r="W327" s="11"/>
      <c r="X327" s="80" t="str">
        <f>IF(W327="","",VLOOKUP(W327,ROLES!I:J,2,FALSE))</f>
        <v/>
      </c>
      <c r="Y327" s="95" t="e">
        <f t="shared" si="11"/>
        <v>#VALUE!</v>
      </c>
      <c r="Z327" s="6"/>
      <c r="AA327" s="6"/>
    </row>
    <row r="328" spans="1:27" ht="28.95" customHeight="1" x14ac:dyDescent="0.3">
      <c r="A328" s="91"/>
      <c r="B328" s="91"/>
      <c r="C328" s="80"/>
      <c r="D328" s="91"/>
      <c r="E328" s="80"/>
      <c r="F328" s="6"/>
      <c r="G328" s="6"/>
      <c r="H328" s="25"/>
      <c r="I328" s="133"/>
      <c r="J328" s="6"/>
      <c r="K328" s="6"/>
      <c r="L328" s="6"/>
      <c r="M328" s="6"/>
      <c r="N328" s="84"/>
      <c r="O328" s="80" t="str">
        <f>IF(N328="","",VLOOKUP(N328,ROLES!B:C,2,FALSE))</f>
        <v/>
      </c>
      <c r="P328" s="15"/>
      <c r="Q328" s="15"/>
      <c r="R328" s="16">
        <f t="shared" si="12"/>
        <v>0</v>
      </c>
      <c r="S328" s="16"/>
      <c r="T328" s="80" t="str">
        <f>IF(S328="","",VLOOKUP(S328,VALORACION!F:G,2,FALSE))</f>
        <v/>
      </c>
      <c r="U328" s="11"/>
      <c r="V328" s="80" t="str">
        <f>IF(U328="","",VLOOKUP(U328,ROLES!G:H,2,FALSE))</f>
        <v/>
      </c>
      <c r="W328" s="11"/>
      <c r="X328" s="80" t="str">
        <f>IF(W328="","",VLOOKUP(W328,ROLES!I:J,2,FALSE))</f>
        <v/>
      </c>
      <c r="Y328" s="95" t="e">
        <f t="shared" si="11"/>
        <v>#VALUE!</v>
      </c>
      <c r="Z328" s="6"/>
      <c r="AA328" s="6"/>
    </row>
    <row r="329" spans="1:27" ht="28.95" customHeight="1" x14ac:dyDescent="0.3">
      <c r="A329" s="91"/>
      <c r="B329" s="91"/>
      <c r="C329" s="80"/>
      <c r="D329" s="91"/>
      <c r="E329" s="80"/>
      <c r="F329" s="6"/>
      <c r="G329" s="6"/>
      <c r="H329" s="25"/>
      <c r="I329" s="133"/>
      <c r="J329" s="6"/>
      <c r="K329" s="6"/>
      <c r="L329" s="6"/>
      <c r="M329" s="6"/>
      <c r="N329" s="84"/>
      <c r="O329" s="80" t="str">
        <f>IF(N329="","",VLOOKUP(N329,ROLES!B:C,2,FALSE))</f>
        <v/>
      </c>
      <c r="P329" s="15"/>
      <c r="Q329" s="15"/>
      <c r="R329" s="16">
        <f t="shared" si="12"/>
        <v>0</v>
      </c>
      <c r="S329" s="16"/>
      <c r="T329" s="80" t="str">
        <f>IF(S329="","",VLOOKUP(S329,VALORACION!F:G,2,FALSE))</f>
        <v/>
      </c>
      <c r="U329" s="11"/>
      <c r="V329" s="80" t="str">
        <f>IF(U329="","",VLOOKUP(U329,ROLES!G:H,2,FALSE))</f>
        <v/>
      </c>
      <c r="W329" s="11"/>
      <c r="X329" s="80" t="str">
        <f>IF(W329="","",VLOOKUP(W329,ROLES!I:J,2,FALSE))</f>
        <v/>
      </c>
      <c r="Y329" s="95" t="e">
        <f t="shared" si="11"/>
        <v>#VALUE!</v>
      </c>
      <c r="Z329" s="6"/>
      <c r="AA329" s="6"/>
    </row>
    <row r="330" spans="1:27" ht="28.95" customHeight="1" x14ac:dyDescent="0.3">
      <c r="A330" s="91"/>
      <c r="B330" s="91"/>
      <c r="C330" s="80"/>
      <c r="D330" s="91"/>
      <c r="E330" s="80"/>
      <c r="F330" s="6"/>
      <c r="G330" s="6"/>
      <c r="H330" s="25"/>
      <c r="I330" s="133"/>
      <c r="J330" s="6"/>
      <c r="K330" s="6"/>
      <c r="L330" s="6"/>
      <c r="M330" s="6"/>
      <c r="N330" s="84"/>
      <c r="O330" s="80" t="str">
        <f>IF(N330="","",VLOOKUP(N330,ROLES!B:C,2,FALSE))</f>
        <v/>
      </c>
      <c r="P330" s="15"/>
      <c r="Q330" s="15"/>
      <c r="R330" s="16">
        <f t="shared" si="12"/>
        <v>0</v>
      </c>
      <c r="S330" s="16"/>
      <c r="T330" s="80" t="str">
        <f>IF(S330="","",VLOOKUP(S330,VALORACION!F:G,2,FALSE))</f>
        <v/>
      </c>
      <c r="U330" s="11"/>
      <c r="V330" s="80" t="str">
        <f>IF(U330="","",VLOOKUP(U330,ROLES!G:H,2,FALSE))</f>
        <v/>
      </c>
      <c r="W330" s="11"/>
      <c r="X330" s="80" t="str">
        <f>IF(W330="","",VLOOKUP(W330,ROLES!I:J,2,FALSE))</f>
        <v/>
      </c>
      <c r="Y330" s="95" t="e">
        <f t="shared" si="11"/>
        <v>#VALUE!</v>
      </c>
      <c r="Z330" s="6"/>
      <c r="AA330" s="6"/>
    </row>
    <row r="331" spans="1:27" ht="28.95" customHeight="1" x14ac:dyDescent="0.3">
      <c r="A331" s="91"/>
      <c r="B331" s="91"/>
      <c r="C331" s="80"/>
      <c r="D331" s="91"/>
      <c r="E331" s="80"/>
      <c r="F331" s="6"/>
      <c r="G331" s="6"/>
      <c r="H331" s="25"/>
      <c r="I331" s="133"/>
      <c r="J331" s="6"/>
      <c r="K331" s="6"/>
      <c r="L331" s="6"/>
      <c r="M331" s="6"/>
      <c r="N331" s="84"/>
      <c r="O331" s="80" t="str">
        <f>IF(N331="","",VLOOKUP(N331,ROLES!B:C,2,FALSE))</f>
        <v/>
      </c>
      <c r="P331" s="15"/>
      <c r="Q331" s="15"/>
      <c r="R331" s="16">
        <f t="shared" si="12"/>
        <v>0</v>
      </c>
      <c r="S331" s="16"/>
      <c r="T331" s="80" t="str">
        <f>IF(S331="","",VLOOKUP(S331,VALORACION!F:G,2,FALSE))</f>
        <v/>
      </c>
      <c r="U331" s="11"/>
      <c r="V331" s="80" t="str">
        <f>IF(U331="","",VLOOKUP(U331,ROLES!G:H,2,FALSE))</f>
        <v/>
      </c>
      <c r="W331" s="11"/>
      <c r="X331" s="80" t="str">
        <f>IF(W331="","",VLOOKUP(W331,ROLES!I:J,2,FALSE))</f>
        <v/>
      </c>
      <c r="Y331" s="95" t="e">
        <f t="shared" si="11"/>
        <v>#VALUE!</v>
      </c>
      <c r="Z331" s="6"/>
      <c r="AA331" s="6"/>
    </row>
    <row r="332" spans="1:27" ht="28.95" customHeight="1" x14ac:dyDescent="0.3">
      <c r="A332" s="91"/>
      <c r="B332" s="91"/>
      <c r="C332" s="80"/>
      <c r="D332" s="91"/>
      <c r="E332" s="80"/>
      <c r="F332" s="6"/>
      <c r="G332" s="6"/>
      <c r="H332" s="25"/>
      <c r="I332" s="133"/>
      <c r="J332" s="6"/>
      <c r="K332" s="6"/>
      <c r="L332" s="6"/>
      <c r="M332" s="6"/>
      <c r="N332" s="84"/>
      <c r="O332" s="80" t="str">
        <f>IF(N332="","",VLOOKUP(N332,ROLES!B:C,2,FALSE))</f>
        <v/>
      </c>
      <c r="P332" s="15"/>
      <c r="Q332" s="15"/>
      <c r="R332" s="16">
        <f t="shared" si="12"/>
        <v>0</v>
      </c>
      <c r="S332" s="16"/>
      <c r="T332" s="80" t="str">
        <f>IF(S332="","",VLOOKUP(S332,VALORACION!F:G,2,FALSE))</f>
        <v/>
      </c>
      <c r="U332" s="11"/>
      <c r="V332" s="80" t="str">
        <f>IF(U332="","",VLOOKUP(U332,ROLES!G:H,2,FALSE))</f>
        <v/>
      </c>
      <c r="W332" s="11"/>
      <c r="X332" s="80" t="str">
        <f>IF(W332="","",VLOOKUP(W332,ROLES!I:J,2,FALSE))</f>
        <v/>
      </c>
      <c r="Y332" s="95" t="e">
        <f t="shared" si="11"/>
        <v>#VALUE!</v>
      </c>
      <c r="Z332" s="6"/>
      <c r="AA332" s="6"/>
    </row>
    <row r="333" spans="1:27" ht="28.95" customHeight="1" x14ac:dyDescent="0.3">
      <c r="A333" s="91"/>
      <c r="B333" s="91"/>
      <c r="C333" s="80"/>
      <c r="D333" s="91"/>
      <c r="E333" s="80"/>
      <c r="F333" s="6"/>
      <c r="G333" s="6"/>
      <c r="H333" s="25"/>
      <c r="I333" s="133"/>
      <c r="J333" s="6"/>
      <c r="K333" s="6"/>
      <c r="L333" s="6"/>
      <c r="M333" s="6"/>
      <c r="N333" s="84"/>
      <c r="O333" s="80" t="str">
        <f>IF(N333="","",VLOOKUP(N333,ROLES!B:C,2,FALSE))</f>
        <v/>
      </c>
      <c r="P333" s="15"/>
      <c r="Q333" s="15"/>
      <c r="R333" s="16">
        <f t="shared" si="12"/>
        <v>0</v>
      </c>
      <c r="S333" s="16"/>
      <c r="T333" s="80" t="str">
        <f>IF(S333="","",VLOOKUP(S333,VALORACION!F:G,2,FALSE))</f>
        <v/>
      </c>
      <c r="U333" s="11"/>
      <c r="V333" s="80" t="str">
        <f>IF(U333="","",VLOOKUP(U333,ROLES!G:H,2,FALSE))</f>
        <v/>
      </c>
      <c r="W333" s="11"/>
      <c r="X333" s="80" t="str">
        <f>IF(W333="","",VLOOKUP(W333,ROLES!I:J,2,FALSE))</f>
        <v/>
      </c>
      <c r="Y333" s="95" t="e">
        <f t="shared" si="11"/>
        <v>#VALUE!</v>
      </c>
      <c r="Z333" s="6"/>
      <c r="AA333" s="6"/>
    </row>
    <row r="334" spans="1:27" ht="28.95" customHeight="1" x14ac:dyDescent="0.3">
      <c r="A334" s="91"/>
      <c r="B334" s="91"/>
      <c r="C334" s="80"/>
      <c r="D334" s="91"/>
      <c r="E334" s="80"/>
      <c r="F334" s="6"/>
      <c r="G334" s="6"/>
      <c r="H334" s="25"/>
      <c r="I334" s="133"/>
      <c r="J334" s="6"/>
      <c r="K334" s="6"/>
      <c r="L334" s="6"/>
      <c r="M334" s="6"/>
      <c r="N334" s="84"/>
      <c r="O334" s="80" t="str">
        <f>IF(N334="","",VLOOKUP(N334,ROLES!B:C,2,FALSE))</f>
        <v/>
      </c>
      <c r="P334" s="15"/>
      <c r="Q334" s="15"/>
      <c r="R334" s="16">
        <f t="shared" si="12"/>
        <v>0</v>
      </c>
      <c r="S334" s="16"/>
      <c r="T334" s="80" t="str">
        <f>IF(S334="","",VLOOKUP(S334,VALORACION!F:G,2,FALSE))</f>
        <v/>
      </c>
      <c r="U334" s="11"/>
      <c r="V334" s="80" t="str">
        <f>IF(U334="","",VLOOKUP(U334,ROLES!G:H,2,FALSE))</f>
        <v/>
      </c>
      <c r="W334" s="11"/>
      <c r="X334" s="80" t="str">
        <f>IF(W334="","",VLOOKUP(W334,ROLES!I:J,2,FALSE))</f>
        <v/>
      </c>
      <c r="Y334" s="95" t="e">
        <f t="shared" si="11"/>
        <v>#VALUE!</v>
      </c>
      <c r="Z334" s="6"/>
      <c r="AA334" s="6"/>
    </row>
    <row r="335" spans="1:27" ht="28.95" customHeight="1" x14ac:dyDescent="0.3">
      <c r="A335" s="91"/>
      <c r="B335" s="91"/>
      <c r="C335" s="80"/>
      <c r="D335" s="91"/>
      <c r="E335" s="80"/>
      <c r="F335" s="6"/>
      <c r="G335" s="6"/>
      <c r="H335" s="25"/>
      <c r="I335" s="133"/>
      <c r="J335" s="6"/>
      <c r="K335" s="6"/>
      <c r="L335" s="6"/>
      <c r="M335" s="6"/>
      <c r="N335" s="84"/>
      <c r="O335" s="80" t="str">
        <f>IF(N335="","",VLOOKUP(N335,ROLES!B:C,2,FALSE))</f>
        <v/>
      </c>
      <c r="P335" s="15"/>
      <c r="Q335" s="15"/>
      <c r="R335" s="16">
        <f t="shared" si="12"/>
        <v>0</v>
      </c>
      <c r="S335" s="16"/>
      <c r="T335" s="80" t="str">
        <f>IF(S335="","",VLOOKUP(S335,VALORACION!F:G,2,FALSE))</f>
        <v/>
      </c>
      <c r="U335" s="11"/>
      <c r="V335" s="80" t="str">
        <f>IF(U335="","",VLOOKUP(U335,ROLES!G:H,2,FALSE))</f>
        <v/>
      </c>
      <c r="W335" s="11"/>
      <c r="X335" s="80" t="str">
        <f>IF(W335="","",VLOOKUP(W335,ROLES!I:J,2,FALSE))</f>
        <v/>
      </c>
      <c r="Y335" s="95" t="e">
        <f t="shared" si="11"/>
        <v>#VALUE!</v>
      </c>
      <c r="Z335" s="6"/>
      <c r="AA335" s="6"/>
    </row>
    <row r="336" spans="1:27" ht="28.95" customHeight="1" x14ac:dyDescent="0.3">
      <c r="A336" s="91"/>
      <c r="B336" s="91"/>
      <c r="C336" s="80"/>
      <c r="D336" s="91"/>
      <c r="E336" s="80"/>
      <c r="F336" s="6"/>
      <c r="G336" s="6"/>
      <c r="H336" s="25"/>
      <c r="I336" s="133"/>
      <c r="J336" s="6"/>
      <c r="K336" s="6"/>
      <c r="L336" s="6"/>
      <c r="M336" s="6"/>
      <c r="N336" s="84"/>
      <c r="O336" s="80" t="str">
        <f>IF(N336="","",VLOOKUP(N336,ROLES!B:C,2,FALSE))</f>
        <v/>
      </c>
      <c r="P336" s="15"/>
      <c r="Q336" s="15"/>
      <c r="R336" s="16">
        <f t="shared" si="12"/>
        <v>0</v>
      </c>
      <c r="S336" s="16"/>
      <c r="T336" s="80" t="str">
        <f>IF(S336="","",VLOOKUP(S336,VALORACION!F:G,2,FALSE))</f>
        <v/>
      </c>
      <c r="U336" s="11"/>
      <c r="V336" s="80" t="str">
        <f>IF(U336="","",VLOOKUP(U336,ROLES!G:H,2,FALSE))</f>
        <v/>
      </c>
      <c r="W336" s="11"/>
      <c r="X336" s="80" t="str">
        <f>IF(W336="","",VLOOKUP(W336,ROLES!I:J,2,FALSE))</f>
        <v/>
      </c>
      <c r="Y336" s="95" t="e">
        <f t="shared" si="11"/>
        <v>#VALUE!</v>
      </c>
      <c r="Z336" s="6"/>
      <c r="AA336" s="6"/>
    </row>
    <row r="337" spans="1:27" ht="28.95" customHeight="1" x14ac:dyDescent="0.3">
      <c r="A337" s="91"/>
      <c r="B337" s="91"/>
      <c r="C337" s="80"/>
      <c r="D337" s="91"/>
      <c r="E337" s="80"/>
      <c r="F337" s="6"/>
      <c r="G337" s="6"/>
      <c r="H337" s="25"/>
      <c r="I337" s="133"/>
      <c r="J337" s="6"/>
      <c r="K337" s="6"/>
      <c r="L337" s="6"/>
      <c r="M337" s="6"/>
      <c r="N337" s="84"/>
      <c r="O337" s="80" t="str">
        <f>IF(N337="","",VLOOKUP(N337,ROLES!B:C,2,FALSE))</f>
        <v/>
      </c>
      <c r="P337" s="15"/>
      <c r="Q337" s="15"/>
      <c r="R337" s="16">
        <f t="shared" si="12"/>
        <v>0</v>
      </c>
      <c r="S337" s="16"/>
      <c r="T337" s="80" t="str">
        <f>IF(S337="","",VLOOKUP(S337,VALORACION!F:G,2,FALSE))</f>
        <v/>
      </c>
      <c r="U337" s="11"/>
      <c r="V337" s="80" t="str">
        <f>IF(U337="","",VLOOKUP(U337,ROLES!G:H,2,FALSE))</f>
        <v/>
      </c>
      <c r="W337" s="11"/>
      <c r="X337" s="80" t="str">
        <f>IF(W337="","",VLOOKUP(W337,ROLES!I:J,2,FALSE))</f>
        <v/>
      </c>
      <c r="Y337" s="95" t="e">
        <f t="shared" si="11"/>
        <v>#VALUE!</v>
      </c>
      <c r="Z337" s="6"/>
      <c r="AA337" s="6"/>
    </row>
    <row r="338" spans="1:27" ht="28.95" customHeight="1" x14ac:dyDescent="0.3">
      <c r="A338" s="91"/>
      <c r="B338" s="91"/>
      <c r="C338" s="80"/>
      <c r="D338" s="91"/>
      <c r="E338" s="80"/>
      <c r="F338" s="6"/>
      <c r="G338" s="6"/>
      <c r="H338" s="25"/>
      <c r="I338" s="133"/>
      <c r="J338" s="6"/>
      <c r="K338" s="6"/>
      <c r="L338" s="6"/>
      <c r="M338" s="6"/>
      <c r="N338" s="84"/>
      <c r="O338" s="80" t="str">
        <f>IF(N338="","",VLOOKUP(N338,ROLES!B:C,2,FALSE))</f>
        <v/>
      </c>
      <c r="P338" s="15"/>
      <c r="Q338" s="15"/>
      <c r="R338" s="16">
        <f t="shared" si="12"/>
        <v>0</v>
      </c>
      <c r="S338" s="16"/>
      <c r="T338" s="80" t="str">
        <f>IF(S338="","",VLOOKUP(S338,VALORACION!F:G,2,FALSE))</f>
        <v/>
      </c>
      <c r="U338" s="11"/>
      <c r="V338" s="80" t="str">
        <f>IF(U338="","",VLOOKUP(U338,ROLES!G:H,2,FALSE))</f>
        <v/>
      </c>
      <c r="W338" s="11"/>
      <c r="X338" s="80" t="str">
        <f>IF(W338="","",VLOOKUP(W338,ROLES!I:J,2,FALSE))</f>
        <v/>
      </c>
      <c r="Y338" s="95" t="e">
        <f t="shared" si="11"/>
        <v>#VALUE!</v>
      </c>
      <c r="Z338" s="6"/>
      <c r="AA338" s="6"/>
    </row>
    <row r="339" spans="1:27" ht="28.95" customHeight="1" x14ac:dyDescent="0.3">
      <c r="A339" s="91"/>
      <c r="B339" s="91"/>
      <c r="C339" s="80"/>
      <c r="D339" s="91"/>
      <c r="E339" s="80"/>
      <c r="F339" s="6"/>
      <c r="G339" s="6"/>
      <c r="H339" s="25"/>
      <c r="I339" s="133"/>
      <c r="J339" s="6"/>
      <c r="K339" s="6"/>
      <c r="L339" s="6"/>
      <c r="M339" s="6"/>
      <c r="N339" s="84"/>
      <c r="O339" s="80" t="str">
        <f>IF(N339="","",VLOOKUP(N339,ROLES!B:C,2,FALSE))</f>
        <v/>
      </c>
      <c r="P339" s="15"/>
      <c r="Q339" s="15"/>
      <c r="R339" s="16">
        <f t="shared" si="12"/>
        <v>0</v>
      </c>
      <c r="S339" s="16"/>
      <c r="T339" s="80" t="str">
        <f>IF(S339="","",VLOOKUP(S339,VALORACION!F:G,2,FALSE))</f>
        <v/>
      </c>
      <c r="U339" s="11"/>
      <c r="V339" s="80" t="str">
        <f>IF(U339="","",VLOOKUP(U339,ROLES!G:H,2,FALSE))</f>
        <v/>
      </c>
      <c r="W339" s="11"/>
      <c r="X339" s="80" t="str">
        <f>IF(W339="","",VLOOKUP(W339,ROLES!I:J,2,FALSE))</f>
        <v/>
      </c>
      <c r="Y339" s="95" t="e">
        <f t="shared" si="11"/>
        <v>#VALUE!</v>
      </c>
      <c r="Z339" s="6"/>
      <c r="AA339" s="6"/>
    </row>
    <row r="340" spans="1:27" ht="28.95" customHeight="1" x14ac:dyDescent="0.3">
      <c r="A340" s="91"/>
      <c r="B340" s="91"/>
      <c r="C340" s="80"/>
      <c r="D340" s="91"/>
      <c r="E340" s="80"/>
      <c r="F340" s="6"/>
      <c r="G340" s="6"/>
      <c r="H340" s="25"/>
      <c r="I340" s="133"/>
      <c r="J340" s="6"/>
      <c r="K340" s="6"/>
      <c r="L340" s="6"/>
      <c r="M340" s="6"/>
      <c r="N340" s="84"/>
      <c r="O340" s="80" t="str">
        <f>IF(N340="","",VLOOKUP(N340,ROLES!B:C,2,FALSE))</f>
        <v/>
      </c>
      <c r="P340" s="15"/>
      <c r="Q340" s="15"/>
      <c r="R340" s="16">
        <f t="shared" si="12"/>
        <v>0</v>
      </c>
      <c r="S340" s="16"/>
      <c r="T340" s="80" t="str">
        <f>IF(S340="","",VLOOKUP(S340,VALORACION!F:G,2,FALSE))</f>
        <v/>
      </c>
      <c r="U340" s="11"/>
      <c r="V340" s="80" t="str">
        <f>IF(U340="","",VLOOKUP(U340,ROLES!G:H,2,FALSE))</f>
        <v/>
      </c>
      <c r="W340" s="11"/>
      <c r="X340" s="80" t="str">
        <f>IF(W340="","",VLOOKUP(W340,ROLES!I:J,2,FALSE))</f>
        <v/>
      </c>
      <c r="Y340" s="95" t="e">
        <f t="shared" si="11"/>
        <v>#VALUE!</v>
      </c>
      <c r="Z340" s="6"/>
      <c r="AA340" s="6"/>
    </row>
    <row r="341" spans="1:27" ht="28.95" customHeight="1" x14ac:dyDescent="0.3">
      <c r="A341" s="91"/>
      <c r="B341" s="91"/>
      <c r="C341" s="80"/>
      <c r="D341" s="91"/>
      <c r="E341" s="80"/>
      <c r="F341" s="6"/>
      <c r="G341" s="6"/>
      <c r="H341" s="25"/>
      <c r="I341" s="133"/>
      <c r="J341" s="6"/>
      <c r="K341" s="6"/>
      <c r="L341" s="6"/>
      <c r="M341" s="6"/>
      <c r="N341" s="84"/>
      <c r="O341" s="80" t="str">
        <f>IF(N341="","",VLOOKUP(N341,ROLES!B:C,2,FALSE))</f>
        <v/>
      </c>
      <c r="P341" s="15"/>
      <c r="Q341" s="15"/>
      <c r="R341" s="16">
        <f t="shared" si="12"/>
        <v>0</v>
      </c>
      <c r="S341" s="16"/>
      <c r="T341" s="80" t="str">
        <f>IF(S341="","",VLOOKUP(S341,VALORACION!F:G,2,FALSE))</f>
        <v/>
      </c>
      <c r="U341" s="11"/>
      <c r="V341" s="80" t="str">
        <f>IF(U341="","",VLOOKUP(U341,ROLES!G:H,2,FALSE))</f>
        <v/>
      </c>
      <c r="W341" s="11"/>
      <c r="X341" s="80" t="str">
        <f>IF(W341="","",VLOOKUP(W341,ROLES!I:J,2,FALSE))</f>
        <v/>
      </c>
      <c r="Y341" s="95" t="e">
        <f t="shared" si="11"/>
        <v>#VALUE!</v>
      </c>
      <c r="Z341" s="6"/>
      <c r="AA341" s="6"/>
    </row>
    <row r="342" spans="1:27" ht="28.95" customHeight="1" x14ac:dyDescent="0.3">
      <c r="A342" s="91"/>
      <c r="B342" s="91"/>
      <c r="C342" s="80"/>
      <c r="D342" s="91"/>
      <c r="E342" s="80"/>
      <c r="F342" s="6"/>
      <c r="G342" s="6"/>
      <c r="H342" s="25"/>
      <c r="I342" s="133"/>
      <c r="J342" s="6"/>
      <c r="K342" s="6"/>
      <c r="L342" s="6"/>
      <c r="M342" s="6"/>
      <c r="N342" s="84"/>
      <c r="O342" s="80" t="str">
        <f>IF(N342="","",VLOOKUP(N342,ROLES!B:C,2,FALSE))</f>
        <v/>
      </c>
      <c r="P342" s="15"/>
      <c r="Q342" s="15"/>
      <c r="R342" s="16">
        <f t="shared" si="12"/>
        <v>0</v>
      </c>
      <c r="S342" s="16"/>
      <c r="T342" s="80" t="str">
        <f>IF(S342="","",VLOOKUP(S342,VALORACION!F:G,2,FALSE))</f>
        <v/>
      </c>
      <c r="U342" s="11"/>
      <c r="V342" s="80" t="str">
        <f>IF(U342="","",VLOOKUP(U342,ROLES!G:H,2,FALSE))</f>
        <v/>
      </c>
      <c r="W342" s="11"/>
      <c r="X342" s="80" t="str">
        <f>IF(W342="","",VLOOKUP(W342,ROLES!I:J,2,FALSE))</f>
        <v/>
      </c>
      <c r="Y342" s="95" t="e">
        <f t="shared" si="11"/>
        <v>#VALUE!</v>
      </c>
      <c r="Z342" s="6"/>
      <c r="AA342" s="6"/>
    </row>
    <row r="343" spans="1:27" ht="28.95" customHeight="1" x14ac:dyDescent="0.3">
      <c r="A343" s="91"/>
      <c r="B343" s="91"/>
      <c r="C343" s="80"/>
      <c r="D343" s="91"/>
      <c r="E343" s="80"/>
      <c r="F343" s="6"/>
      <c r="G343" s="6"/>
      <c r="H343" s="25"/>
      <c r="I343" s="133"/>
      <c r="J343" s="6"/>
      <c r="K343" s="6"/>
      <c r="L343" s="6"/>
      <c r="M343" s="6"/>
      <c r="N343" s="84"/>
      <c r="O343" s="80" t="str">
        <f>IF(N343="","",VLOOKUP(N343,ROLES!B:C,2,FALSE))</f>
        <v/>
      </c>
      <c r="P343" s="15"/>
      <c r="Q343" s="15"/>
      <c r="R343" s="16">
        <f t="shared" si="12"/>
        <v>0</v>
      </c>
      <c r="S343" s="16"/>
      <c r="T343" s="80" t="str">
        <f>IF(S343="","",VLOOKUP(S343,VALORACION!F:G,2,FALSE))</f>
        <v/>
      </c>
      <c r="U343" s="11"/>
      <c r="V343" s="80" t="str">
        <f>IF(U343="","",VLOOKUP(U343,ROLES!G:H,2,FALSE))</f>
        <v/>
      </c>
      <c r="W343" s="11"/>
      <c r="X343" s="80" t="str">
        <f>IF(W343="","",VLOOKUP(W343,ROLES!I:J,2,FALSE))</f>
        <v/>
      </c>
      <c r="Y343" s="95" t="e">
        <f t="shared" si="11"/>
        <v>#VALUE!</v>
      </c>
      <c r="Z343" s="6"/>
      <c r="AA343" s="6"/>
    </row>
    <row r="344" spans="1:27" ht="28.95" customHeight="1" x14ac:dyDescent="0.3">
      <c r="A344" s="91"/>
      <c r="B344" s="91"/>
      <c r="C344" s="80"/>
      <c r="D344" s="91"/>
      <c r="E344" s="80"/>
      <c r="F344" s="6"/>
      <c r="G344" s="6"/>
      <c r="H344" s="25"/>
      <c r="I344" s="133"/>
      <c r="J344" s="6"/>
      <c r="K344" s="6"/>
      <c r="L344" s="6"/>
      <c r="M344" s="6"/>
      <c r="N344" s="84"/>
      <c r="O344" s="80" t="str">
        <f>IF(N344="","",VLOOKUP(N344,ROLES!B:C,2,FALSE))</f>
        <v/>
      </c>
      <c r="P344" s="15"/>
      <c r="Q344" s="15"/>
      <c r="R344" s="16">
        <f t="shared" si="12"/>
        <v>0</v>
      </c>
      <c r="S344" s="16"/>
      <c r="T344" s="80" t="str">
        <f>IF(S344="","",VLOOKUP(S344,VALORACION!F:G,2,FALSE))</f>
        <v/>
      </c>
      <c r="U344" s="11"/>
      <c r="V344" s="80" t="str">
        <f>IF(U344="","",VLOOKUP(U344,ROLES!G:H,2,FALSE))</f>
        <v/>
      </c>
      <c r="W344" s="11"/>
      <c r="X344" s="80" t="str">
        <f>IF(W344="","",VLOOKUP(W344,ROLES!I:J,2,FALSE))</f>
        <v/>
      </c>
      <c r="Y344" s="95" t="e">
        <f t="shared" si="11"/>
        <v>#VALUE!</v>
      </c>
      <c r="Z344" s="6"/>
      <c r="AA344" s="6"/>
    </row>
    <row r="345" spans="1:27" ht="28.95" customHeight="1" x14ac:dyDescent="0.3">
      <c r="A345" s="91"/>
      <c r="B345" s="91"/>
      <c r="C345" s="80"/>
      <c r="D345" s="91"/>
      <c r="E345" s="80"/>
      <c r="F345" s="6"/>
      <c r="G345" s="6"/>
      <c r="H345" s="25"/>
      <c r="I345" s="133"/>
      <c r="J345" s="6"/>
      <c r="K345" s="6"/>
      <c r="L345" s="6"/>
      <c r="M345" s="6"/>
      <c r="N345" s="84"/>
      <c r="O345" s="80" t="str">
        <f>IF(N345="","",VLOOKUP(N345,ROLES!B:C,2,FALSE))</f>
        <v/>
      </c>
      <c r="P345" s="15"/>
      <c r="Q345" s="15"/>
      <c r="R345" s="16">
        <f t="shared" si="12"/>
        <v>0</v>
      </c>
      <c r="S345" s="16"/>
      <c r="T345" s="80" t="str">
        <f>IF(S345="","",VLOOKUP(S345,VALORACION!F:G,2,FALSE))</f>
        <v/>
      </c>
      <c r="U345" s="11"/>
      <c r="V345" s="80" t="str">
        <f>IF(U345="","",VLOOKUP(U345,ROLES!G:H,2,FALSE))</f>
        <v/>
      </c>
      <c r="W345" s="11"/>
      <c r="X345" s="80" t="str">
        <f>IF(W345="","",VLOOKUP(W345,ROLES!I:J,2,FALSE))</f>
        <v/>
      </c>
      <c r="Y345" s="95" t="e">
        <f t="shared" si="11"/>
        <v>#VALUE!</v>
      </c>
      <c r="Z345" s="6"/>
      <c r="AA345" s="6"/>
    </row>
    <row r="346" spans="1:27" ht="28.95" customHeight="1" x14ac:dyDescent="0.3">
      <c r="A346" s="91"/>
      <c r="B346" s="91"/>
      <c r="C346" s="80"/>
      <c r="D346" s="91"/>
      <c r="E346" s="80"/>
      <c r="F346" s="6"/>
      <c r="G346" s="6"/>
      <c r="H346" s="25"/>
      <c r="I346" s="133"/>
      <c r="J346" s="6"/>
      <c r="K346" s="6"/>
      <c r="L346" s="6"/>
      <c r="M346" s="6"/>
      <c r="N346" s="84"/>
      <c r="O346" s="80" t="str">
        <f>IF(N346="","",VLOOKUP(N346,ROLES!B:C,2,FALSE))</f>
        <v/>
      </c>
      <c r="P346" s="15"/>
      <c r="Q346" s="15"/>
      <c r="R346" s="16">
        <f t="shared" si="12"/>
        <v>0</v>
      </c>
      <c r="S346" s="16"/>
      <c r="T346" s="80" t="str">
        <f>IF(S346="","",VLOOKUP(S346,VALORACION!F:G,2,FALSE))</f>
        <v/>
      </c>
      <c r="U346" s="11"/>
      <c r="V346" s="80" t="str">
        <f>IF(U346="","",VLOOKUP(U346,ROLES!G:H,2,FALSE))</f>
        <v/>
      </c>
      <c r="W346" s="11"/>
      <c r="X346" s="80" t="str">
        <f>IF(W346="","",VLOOKUP(W346,ROLES!I:J,2,FALSE))</f>
        <v/>
      </c>
      <c r="Y346" s="95" t="e">
        <f t="shared" si="11"/>
        <v>#VALUE!</v>
      </c>
      <c r="Z346" s="6"/>
      <c r="AA346" s="6"/>
    </row>
    <row r="347" spans="1:27" ht="28.95" customHeight="1" x14ac:dyDescent="0.3">
      <c r="A347" s="91"/>
      <c r="B347" s="91"/>
      <c r="C347" s="80"/>
      <c r="D347" s="91"/>
      <c r="E347" s="80"/>
      <c r="F347" s="6"/>
      <c r="G347" s="6"/>
      <c r="H347" s="25"/>
      <c r="I347" s="133"/>
      <c r="J347" s="6"/>
      <c r="K347" s="6"/>
      <c r="L347" s="6"/>
      <c r="M347" s="6"/>
      <c r="N347" s="84"/>
      <c r="O347" s="80" t="str">
        <f>IF(N347="","",VLOOKUP(N347,ROLES!B:C,2,FALSE))</f>
        <v/>
      </c>
      <c r="P347" s="15"/>
      <c r="Q347" s="15"/>
      <c r="R347" s="16">
        <f t="shared" si="12"/>
        <v>0</v>
      </c>
      <c r="S347" s="16"/>
      <c r="T347" s="80" t="str">
        <f>IF(S347="","",VLOOKUP(S347,VALORACION!F:G,2,FALSE))</f>
        <v/>
      </c>
      <c r="U347" s="11"/>
      <c r="V347" s="80" t="str">
        <f>IF(U347="","",VLOOKUP(U347,ROLES!G:H,2,FALSE))</f>
        <v/>
      </c>
      <c r="W347" s="11"/>
      <c r="X347" s="80" t="str">
        <f>IF(W347="","",VLOOKUP(W347,ROLES!I:J,2,FALSE))</f>
        <v/>
      </c>
      <c r="Y347" s="95" t="e">
        <f t="shared" si="11"/>
        <v>#VALUE!</v>
      </c>
      <c r="Z347" s="6"/>
      <c r="AA347" s="6"/>
    </row>
    <row r="348" spans="1:27" ht="28.95" customHeight="1" x14ac:dyDescent="0.3">
      <c r="A348" s="91"/>
      <c r="B348" s="91"/>
      <c r="C348" s="80"/>
      <c r="D348" s="91"/>
      <c r="E348" s="80"/>
      <c r="F348" s="6"/>
      <c r="G348" s="6"/>
      <c r="H348" s="25"/>
      <c r="I348" s="133"/>
      <c r="J348" s="6"/>
      <c r="K348" s="6"/>
      <c r="L348" s="6"/>
      <c r="M348" s="6"/>
      <c r="N348" s="84"/>
      <c r="O348" s="80" t="str">
        <f>IF(N348="","",VLOOKUP(N348,ROLES!B:C,2,FALSE))</f>
        <v/>
      </c>
      <c r="P348" s="15"/>
      <c r="Q348" s="15"/>
      <c r="R348" s="16">
        <f t="shared" si="12"/>
        <v>0</v>
      </c>
      <c r="S348" s="16"/>
      <c r="T348" s="80" t="str">
        <f>IF(S348="","",VLOOKUP(S348,VALORACION!F:G,2,FALSE))</f>
        <v/>
      </c>
      <c r="U348" s="11"/>
      <c r="V348" s="80" t="str">
        <f>IF(U348="","",VLOOKUP(U348,ROLES!G:H,2,FALSE))</f>
        <v/>
      </c>
      <c r="W348" s="11"/>
      <c r="X348" s="80" t="str">
        <f>IF(W348="","",VLOOKUP(W348,ROLES!I:J,2,FALSE))</f>
        <v/>
      </c>
      <c r="Y348" s="95" t="e">
        <f t="shared" si="11"/>
        <v>#VALUE!</v>
      </c>
      <c r="Z348" s="6"/>
      <c r="AA348" s="6"/>
    </row>
    <row r="349" spans="1:27" ht="28.95" customHeight="1" x14ac:dyDescent="0.3">
      <c r="A349" s="91"/>
      <c r="B349" s="91"/>
      <c r="C349" s="80"/>
      <c r="D349" s="91"/>
      <c r="E349" s="80"/>
      <c r="F349" s="6"/>
      <c r="G349" s="6"/>
      <c r="H349" s="25"/>
      <c r="I349" s="133"/>
      <c r="J349" s="6"/>
      <c r="K349" s="6"/>
      <c r="L349" s="6"/>
      <c r="M349" s="6"/>
      <c r="N349" s="84"/>
      <c r="O349" s="80" t="str">
        <f>IF(N349="","",VLOOKUP(N349,ROLES!B:C,2,FALSE))</f>
        <v/>
      </c>
      <c r="P349" s="15"/>
      <c r="Q349" s="15"/>
      <c r="R349" s="16">
        <f t="shared" si="12"/>
        <v>0</v>
      </c>
      <c r="S349" s="16"/>
      <c r="T349" s="80" t="str">
        <f>IF(S349="","",VLOOKUP(S349,VALORACION!F:G,2,FALSE))</f>
        <v/>
      </c>
      <c r="U349" s="11"/>
      <c r="V349" s="80" t="str">
        <f>IF(U349="","",VLOOKUP(U349,ROLES!G:H,2,FALSE))</f>
        <v/>
      </c>
      <c r="W349" s="11"/>
      <c r="X349" s="80" t="str">
        <f>IF(W349="","",VLOOKUP(W349,ROLES!I:J,2,FALSE))</f>
        <v/>
      </c>
      <c r="Y349" s="95" t="e">
        <f t="shared" si="11"/>
        <v>#VALUE!</v>
      </c>
      <c r="Z349" s="6"/>
      <c r="AA349" s="6"/>
    </row>
    <row r="350" spans="1:27" ht="28.95" customHeight="1" x14ac:dyDescent="0.3">
      <c r="A350" s="91"/>
      <c r="B350" s="91"/>
      <c r="C350" s="80"/>
      <c r="D350" s="91"/>
      <c r="E350" s="80"/>
      <c r="F350" s="6"/>
      <c r="G350" s="6"/>
      <c r="H350" s="25"/>
      <c r="I350" s="133"/>
      <c r="J350" s="6"/>
      <c r="K350" s="6"/>
      <c r="L350" s="6"/>
      <c r="M350" s="6"/>
      <c r="N350" s="84"/>
      <c r="O350" s="80" t="str">
        <f>IF(N350="","",VLOOKUP(N350,ROLES!B:C,2,FALSE))</f>
        <v/>
      </c>
      <c r="P350" s="15"/>
      <c r="Q350" s="15"/>
      <c r="R350" s="16">
        <f t="shared" si="12"/>
        <v>0</v>
      </c>
      <c r="S350" s="16"/>
      <c r="T350" s="80" t="str">
        <f>IF(S350="","",VLOOKUP(S350,VALORACION!F:G,2,FALSE))</f>
        <v/>
      </c>
      <c r="U350" s="11"/>
      <c r="V350" s="80" t="str">
        <f>IF(U350="","",VLOOKUP(U350,ROLES!G:H,2,FALSE))</f>
        <v/>
      </c>
      <c r="W350" s="11"/>
      <c r="X350" s="80" t="str">
        <f>IF(W350="","",VLOOKUP(W350,ROLES!I:J,2,FALSE))</f>
        <v/>
      </c>
      <c r="Y350" s="95" t="e">
        <f t="shared" si="11"/>
        <v>#VALUE!</v>
      </c>
      <c r="Z350" s="6"/>
      <c r="AA350" s="6"/>
    </row>
    <row r="351" spans="1:27" ht="28.95" customHeight="1" x14ac:dyDescent="0.3">
      <c r="A351" s="91"/>
      <c r="B351" s="91"/>
      <c r="C351" s="80"/>
      <c r="D351" s="91"/>
      <c r="E351" s="80"/>
      <c r="F351" s="6"/>
      <c r="G351" s="6"/>
      <c r="H351" s="25"/>
      <c r="I351" s="133"/>
      <c r="J351" s="6"/>
      <c r="K351" s="6"/>
      <c r="L351" s="6"/>
      <c r="M351" s="6"/>
      <c r="N351" s="84"/>
      <c r="O351" s="80" t="str">
        <f>IF(N351="","",VLOOKUP(N351,ROLES!B:C,2,FALSE))</f>
        <v/>
      </c>
      <c r="P351" s="15"/>
      <c r="Q351" s="15"/>
      <c r="R351" s="16">
        <f t="shared" si="12"/>
        <v>0</v>
      </c>
      <c r="S351" s="16"/>
      <c r="T351" s="80" t="str">
        <f>IF(S351="","",VLOOKUP(S351,VALORACION!F:G,2,FALSE))</f>
        <v/>
      </c>
      <c r="U351" s="11"/>
      <c r="V351" s="80" t="str">
        <f>IF(U351="","",VLOOKUP(U351,ROLES!G:H,2,FALSE))</f>
        <v/>
      </c>
      <c r="W351" s="11"/>
      <c r="X351" s="80" t="str">
        <f>IF(W351="","",VLOOKUP(W351,ROLES!I:J,2,FALSE))</f>
        <v/>
      </c>
      <c r="Y351" s="95" t="e">
        <f t="shared" si="11"/>
        <v>#VALUE!</v>
      </c>
      <c r="Z351" s="6"/>
      <c r="AA351" s="6"/>
    </row>
    <row r="352" spans="1:27" ht="28.95" customHeight="1" x14ac:dyDescent="0.3">
      <c r="A352" s="91"/>
      <c r="B352" s="91"/>
      <c r="C352" s="80"/>
      <c r="D352" s="91"/>
      <c r="E352" s="80"/>
      <c r="F352" s="6"/>
      <c r="G352" s="6"/>
      <c r="H352" s="25"/>
      <c r="I352" s="133"/>
      <c r="J352" s="6"/>
      <c r="K352" s="6"/>
      <c r="L352" s="6"/>
      <c r="M352" s="6"/>
      <c r="N352" s="84"/>
      <c r="O352" s="80" t="str">
        <f>IF(N352="","",VLOOKUP(N352,ROLES!B:C,2,FALSE))</f>
        <v/>
      </c>
      <c r="P352" s="15"/>
      <c r="Q352" s="15"/>
      <c r="R352" s="16">
        <f t="shared" si="12"/>
        <v>0</v>
      </c>
      <c r="S352" s="16"/>
      <c r="T352" s="80" t="str">
        <f>IF(S352="","",VLOOKUP(S352,VALORACION!F:G,2,FALSE))</f>
        <v/>
      </c>
      <c r="U352" s="11"/>
      <c r="V352" s="80" t="str">
        <f>IF(U352="","",VLOOKUP(U352,ROLES!G:H,2,FALSE))</f>
        <v/>
      </c>
      <c r="W352" s="11"/>
      <c r="X352" s="80" t="str">
        <f>IF(W352="","",VLOOKUP(W352,ROLES!I:J,2,FALSE))</f>
        <v/>
      </c>
      <c r="Y352" s="95" t="e">
        <f t="shared" si="11"/>
        <v>#VALUE!</v>
      </c>
      <c r="Z352" s="6"/>
      <c r="AA352" s="6"/>
    </row>
    <row r="353" spans="1:27" ht="28.95" customHeight="1" x14ac:dyDescent="0.3">
      <c r="A353" s="91"/>
      <c r="B353" s="91"/>
      <c r="C353" s="80"/>
      <c r="D353" s="91"/>
      <c r="E353" s="80"/>
      <c r="F353" s="6"/>
      <c r="G353" s="6"/>
      <c r="H353" s="25"/>
      <c r="I353" s="133"/>
      <c r="J353" s="6"/>
      <c r="K353" s="6"/>
      <c r="L353" s="6"/>
      <c r="M353" s="6"/>
      <c r="N353" s="84"/>
      <c r="O353" s="80" t="str">
        <f>IF(N353="","",VLOOKUP(N353,ROLES!B:C,2,FALSE))</f>
        <v/>
      </c>
      <c r="P353" s="15"/>
      <c r="Q353" s="15"/>
      <c r="R353" s="16">
        <f t="shared" si="12"/>
        <v>0</v>
      </c>
      <c r="S353" s="16"/>
      <c r="T353" s="80" t="str">
        <f>IF(S353="","",VLOOKUP(S353,VALORACION!F:G,2,FALSE))</f>
        <v/>
      </c>
      <c r="U353" s="11"/>
      <c r="V353" s="80" t="str">
        <f>IF(U353="","",VLOOKUP(U353,ROLES!G:H,2,FALSE))</f>
        <v/>
      </c>
      <c r="W353" s="11"/>
      <c r="X353" s="80" t="str">
        <f>IF(W353="","",VLOOKUP(W353,ROLES!I:J,2,FALSE))</f>
        <v/>
      </c>
      <c r="Y353" s="95" t="e">
        <f t="shared" si="11"/>
        <v>#VALUE!</v>
      </c>
      <c r="Z353" s="6"/>
      <c r="AA353" s="6"/>
    </row>
    <row r="354" spans="1:27" ht="28.95" customHeight="1" x14ac:dyDescent="0.3">
      <c r="A354" s="91"/>
      <c r="B354" s="91"/>
      <c r="C354" s="80"/>
      <c r="D354" s="91"/>
      <c r="E354" s="80"/>
      <c r="F354" s="6"/>
      <c r="G354" s="6"/>
      <c r="H354" s="25"/>
      <c r="I354" s="133"/>
      <c r="J354" s="6"/>
      <c r="K354" s="6"/>
      <c r="L354" s="6"/>
      <c r="M354" s="6"/>
      <c r="N354" s="84"/>
      <c r="O354" s="80" t="str">
        <f>IF(N354="","",VLOOKUP(N354,ROLES!B:C,2,FALSE))</f>
        <v/>
      </c>
      <c r="P354" s="15"/>
      <c r="Q354" s="15"/>
      <c r="R354" s="16">
        <f t="shared" si="12"/>
        <v>0</v>
      </c>
      <c r="S354" s="16"/>
      <c r="T354" s="80" t="str">
        <f>IF(S354="","",VLOOKUP(S354,VALORACION!F:G,2,FALSE))</f>
        <v/>
      </c>
      <c r="U354" s="11"/>
      <c r="V354" s="80" t="str">
        <f>IF(U354="","",VLOOKUP(U354,ROLES!G:H,2,FALSE))</f>
        <v/>
      </c>
      <c r="W354" s="11"/>
      <c r="X354" s="80" t="str">
        <f>IF(W354="","",VLOOKUP(W354,ROLES!I:J,2,FALSE))</f>
        <v/>
      </c>
      <c r="Y354" s="95" t="e">
        <f t="shared" si="11"/>
        <v>#VALUE!</v>
      </c>
      <c r="Z354" s="6"/>
      <c r="AA354" s="6"/>
    </row>
    <row r="355" spans="1:27" ht="28.95" customHeight="1" x14ac:dyDescent="0.3">
      <c r="A355" s="91"/>
      <c r="B355" s="91"/>
      <c r="C355" s="80"/>
      <c r="D355" s="91"/>
      <c r="E355" s="80"/>
      <c r="F355" s="6"/>
      <c r="G355" s="6"/>
      <c r="H355" s="25"/>
      <c r="I355" s="133"/>
      <c r="J355" s="6"/>
      <c r="K355" s="6"/>
      <c r="L355" s="6"/>
      <c r="M355" s="6"/>
      <c r="N355" s="84"/>
      <c r="O355" s="80" t="str">
        <f>IF(N355="","",VLOOKUP(N355,ROLES!B:C,2,FALSE))</f>
        <v/>
      </c>
      <c r="P355" s="15"/>
      <c r="Q355" s="15"/>
      <c r="R355" s="16">
        <f t="shared" si="12"/>
        <v>0</v>
      </c>
      <c r="S355" s="16"/>
      <c r="T355" s="80" t="str">
        <f>IF(S355="","",VLOOKUP(S355,VALORACION!F:G,2,FALSE))</f>
        <v/>
      </c>
      <c r="U355" s="11"/>
      <c r="V355" s="80" t="str">
        <f>IF(U355="","",VLOOKUP(U355,ROLES!G:H,2,FALSE))</f>
        <v/>
      </c>
      <c r="W355" s="11"/>
      <c r="X355" s="80" t="str">
        <f>IF(W355="","",VLOOKUP(W355,ROLES!I:J,2,FALSE))</f>
        <v/>
      </c>
      <c r="Y355" s="95" t="e">
        <f t="shared" si="11"/>
        <v>#VALUE!</v>
      </c>
      <c r="Z355" s="6"/>
      <c r="AA355" s="6"/>
    </row>
    <row r="356" spans="1:27" ht="28.95" customHeight="1" x14ac:dyDescent="0.3">
      <c r="A356" s="91"/>
      <c r="B356" s="91"/>
      <c r="C356" s="80"/>
      <c r="D356" s="91"/>
      <c r="E356" s="80"/>
      <c r="F356" s="6"/>
      <c r="G356" s="6"/>
      <c r="H356" s="25"/>
      <c r="I356" s="133"/>
      <c r="J356" s="6"/>
      <c r="K356" s="6"/>
      <c r="L356" s="6"/>
      <c r="M356" s="6"/>
      <c r="N356" s="84"/>
      <c r="O356" s="80" t="str">
        <f>IF(N356="","",VLOOKUP(N356,ROLES!B:C,2,FALSE))</f>
        <v/>
      </c>
      <c r="P356" s="15"/>
      <c r="Q356" s="15"/>
      <c r="R356" s="16">
        <f t="shared" si="12"/>
        <v>0</v>
      </c>
      <c r="S356" s="16"/>
      <c r="T356" s="80" t="str">
        <f>IF(S356="","",VLOOKUP(S356,VALORACION!F:G,2,FALSE))</f>
        <v/>
      </c>
      <c r="U356" s="11"/>
      <c r="V356" s="80" t="str">
        <f>IF(U356="","",VLOOKUP(U356,ROLES!G:H,2,FALSE))</f>
        <v/>
      </c>
      <c r="W356" s="11"/>
      <c r="X356" s="80" t="str">
        <f>IF(W356="","",VLOOKUP(W356,ROLES!I:J,2,FALSE))</f>
        <v/>
      </c>
      <c r="Y356" s="95" t="e">
        <f t="shared" si="11"/>
        <v>#VALUE!</v>
      </c>
      <c r="Z356" s="6"/>
      <c r="AA356" s="6"/>
    </row>
    <row r="357" spans="1:27" ht="28.95" customHeight="1" x14ac:dyDescent="0.3">
      <c r="A357" s="91"/>
      <c r="B357" s="91"/>
      <c r="C357" s="80"/>
      <c r="D357" s="91"/>
      <c r="E357" s="80"/>
      <c r="F357" s="6"/>
      <c r="G357" s="6"/>
      <c r="H357" s="25"/>
      <c r="I357" s="133"/>
      <c r="J357" s="6"/>
      <c r="K357" s="6"/>
      <c r="L357" s="6"/>
      <c r="M357" s="6"/>
      <c r="N357" s="84"/>
      <c r="O357" s="80" t="str">
        <f>IF(N357="","",VLOOKUP(N357,ROLES!B:C,2,FALSE))</f>
        <v/>
      </c>
      <c r="P357" s="15"/>
      <c r="Q357" s="15"/>
      <c r="R357" s="16">
        <f t="shared" si="12"/>
        <v>0</v>
      </c>
      <c r="S357" s="16"/>
      <c r="T357" s="80" t="str">
        <f>IF(S357="","",VLOOKUP(S357,VALORACION!F:G,2,FALSE))</f>
        <v/>
      </c>
      <c r="U357" s="11"/>
      <c r="V357" s="80" t="str">
        <f>IF(U357="","",VLOOKUP(U357,ROLES!G:H,2,FALSE))</f>
        <v/>
      </c>
      <c r="W357" s="11"/>
      <c r="X357" s="80" t="str">
        <f>IF(W357="","",VLOOKUP(W357,ROLES!I:J,2,FALSE))</f>
        <v/>
      </c>
      <c r="Y357" s="95" t="e">
        <f t="shared" si="11"/>
        <v>#VALUE!</v>
      </c>
      <c r="Z357" s="6"/>
      <c r="AA357" s="6"/>
    </row>
    <row r="358" spans="1:27" ht="28.95" customHeight="1" x14ac:dyDescent="0.3">
      <c r="A358" s="91"/>
      <c r="B358" s="91"/>
      <c r="C358" s="80"/>
      <c r="D358" s="91"/>
      <c r="E358" s="80"/>
      <c r="F358" s="6"/>
      <c r="G358" s="6"/>
      <c r="H358" s="25"/>
      <c r="I358" s="133"/>
      <c r="J358" s="6"/>
      <c r="K358" s="6"/>
      <c r="L358" s="6"/>
      <c r="M358" s="6"/>
      <c r="N358" s="84"/>
      <c r="O358" s="80" t="str">
        <f>IF(N358="","",VLOOKUP(N358,ROLES!B:C,2,FALSE))</f>
        <v/>
      </c>
      <c r="P358" s="15"/>
      <c r="Q358" s="15"/>
      <c r="R358" s="16">
        <f t="shared" si="12"/>
        <v>0</v>
      </c>
      <c r="S358" s="16"/>
      <c r="T358" s="80" t="str">
        <f>IF(S358="","",VLOOKUP(S358,VALORACION!F:G,2,FALSE))</f>
        <v/>
      </c>
      <c r="U358" s="11"/>
      <c r="V358" s="80" t="str">
        <f>IF(U358="","",VLOOKUP(U358,ROLES!G:H,2,FALSE))</f>
        <v/>
      </c>
      <c r="W358" s="11"/>
      <c r="X358" s="80" t="str">
        <f>IF(W358="","",VLOOKUP(W358,ROLES!I:J,2,FALSE))</f>
        <v/>
      </c>
      <c r="Y358" s="95" t="e">
        <f t="shared" si="11"/>
        <v>#VALUE!</v>
      </c>
      <c r="Z358" s="6"/>
      <c r="AA358" s="6"/>
    </row>
    <row r="359" spans="1:27" ht="28.95" customHeight="1" x14ac:dyDescent="0.3">
      <c r="A359" s="91"/>
      <c r="B359" s="91"/>
      <c r="C359" s="80"/>
      <c r="D359" s="91"/>
      <c r="E359" s="80"/>
      <c r="F359" s="6"/>
      <c r="G359" s="6"/>
      <c r="H359" s="25"/>
      <c r="I359" s="133"/>
      <c r="J359" s="6"/>
      <c r="K359" s="6"/>
      <c r="L359" s="6"/>
      <c r="M359" s="6"/>
      <c r="N359" s="84"/>
      <c r="O359" s="80" t="str">
        <f>IF(N359="","",VLOOKUP(N359,ROLES!B:C,2,FALSE))</f>
        <v/>
      </c>
      <c r="P359" s="15"/>
      <c r="Q359" s="15"/>
      <c r="R359" s="16">
        <f t="shared" si="12"/>
        <v>0</v>
      </c>
      <c r="S359" s="16"/>
      <c r="T359" s="80" t="str">
        <f>IF(S359="","",VLOOKUP(S359,VALORACION!F:G,2,FALSE))</f>
        <v/>
      </c>
      <c r="U359" s="11"/>
      <c r="V359" s="80" t="str">
        <f>IF(U359="","",VLOOKUP(U359,ROLES!G:H,2,FALSE))</f>
        <v/>
      </c>
      <c r="W359" s="11"/>
      <c r="X359" s="80" t="str">
        <f>IF(W359="","",VLOOKUP(W359,ROLES!I:J,2,FALSE))</f>
        <v/>
      </c>
      <c r="Y359" s="95" t="e">
        <f t="shared" si="11"/>
        <v>#VALUE!</v>
      </c>
      <c r="Z359" s="6"/>
      <c r="AA359" s="6"/>
    </row>
    <row r="360" spans="1:27" ht="28.95" customHeight="1" x14ac:dyDescent="0.3">
      <c r="A360" s="91"/>
      <c r="B360" s="91"/>
      <c r="C360" s="80"/>
      <c r="D360" s="91"/>
      <c r="E360" s="80"/>
      <c r="F360" s="6"/>
      <c r="G360" s="6"/>
      <c r="H360" s="25"/>
      <c r="I360" s="133"/>
      <c r="J360" s="6"/>
      <c r="K360" s="6"/>
      <c r="L360" s="6"/>
      <c r="M360" s="6"/>
      <c r="N360" s="84"/>
      <c r="O360" s="80" t="str">
        <f>IF(N360="","",VLOOKUP(N360,ROLES!B:C,2,FALSE))</f>
        <v/>
      </c>
      <c r="P360" s="15"/>
      <c r="Q360" s="15"/>
      <c r="R360" s="16">
        <f t="shared" si="12"/>
        <v>0</v>
      </c>
      <c r="S360" s="16"/>
      <c r="T360" s="80" t="str">
        <f>IF(S360="","",VLOOKUP(S360,VALORACION!F:G,2,FALSE))</f>
        <v/>
      </c>
      <c r="U360" s="11"/>
      <c r="V360" s="80" t="str">
        <f>IF(U360="","",VLOOKUP(U360,ROLES!G:H,2,FALSE))</f>
        <v/>
      </c>
      <c r="W360" s="11"/>
      <c r="X360" s="80" t="str">
        <f>IF(W360="","",VLOOKUP(W360,ROLES!I:J,2,FALSE))</f>
        <v/>
      </c>
      <c r="Y360" s="95" t="e">
        <f t="shared" si="11"/>
        <v>#VALUE!</v>
      </c>
      <c r="Z360" s="6"/>
      <c r="AA360" s="6"/>
    </row>
    <row r="361" spans="1:27" ht="28.95" customHeight="1" x14ac:dyDescent="0.3">
      <c r="A361" s="91"/>
      <c r="B361" s="91"/>
      <c r="C361" s="80"/>
      <c r="D361" s="91"/>
      <c r="E361" s="80"/>
      <c r="F361" s="6"/>
      <c r="G361" s="6"/>
      <c r="H361" s="25"/>
      <c r="I361" s="133"/>
      <c r="J361" s="6"/>
      <c r="K361" s="6"/>
      <c r="L361" s="6"/>
      <c r="M361" s="6"/>
      <c r="N361" s="84"/>
      <c r="O361" s="80" t="str">
        <f>IF(N361="","",VLOOKUP(N361,ROLES!B:C,2,FALSE))</f>
        <v/>
      </c>
      <c r="P361" s="15"/>
      <c r="Q361" s="15"/>
      <c r="R361" s="16">
        <f t="shared" si="12"/>
        <v>0</v>
      </c>
      <c r="S361" s="16"/>
      <c r="T361" s="80" t="str">
        <f>IF(S361="","",VLOOKUP(S361,VALORACION!F:G,2,FALSE))</f>
        <v/>
      </c>
      <c r="U361" s="11"/>
      <c r="V361" s="80" t="str">
        <f>IF(U361="","",VLOOKUP(U361,ROLES!G:H,2,FALSE))</f>
        <v/>
      </c>
      <c r="W361" s="11"/>
      <c r="X361" s="80" t="str">
        <f>IF(W361="","",VLOOKUP(W361,ROLES!I:J,2,FALSE))</f>
        <v/>
      </c>
      <c r="Y361" s="95" t="e">
        <f t="shared" si="11"/>
        <v>#VALUE!</v>
      </c>
      <c r="Z361" s="6"/>
      <c r="AA361" s="6"/>
    </row>
    <row r="362" spans="1:27" ht="28.95" customHeight="1" x14ac:dyDescent="0.3">
      <c r="A362" s="91"/>
      <c r="B362" s="91"/>
      <c r="C362" s="80"/>
      <c r="D362" s="91"/>
      <c r="E362" s="80"/>
      <c r="F362" s="6"/>
      <c r="G362" s="6"/>
      <c r="H362" s="25"/>
      <c r="I362" s="133"/>
      <c r="J362" s="6"/>
      <c r="K362" s="6"/>
      <c r="L362" s="6"/>
      <c r="M362" s="6"/>
      <c r="N362" s="84"/>
      <c r="O362" s="80" t="str">
        <f>IF(N362="","",VLOOKUP(N362,ROLES!B:C,2,FALSE))</f>
        <v/>
      </c>
      <c r="P362" s="15"/>
      <c r="Q362" s="15"/>
      <c r="R362" s="16">
        <f t="shared" si="12"/>
        <v>0</v>
      </c>
      <c r="S362" s="16"/>
      <c r="T362" s="80" t="str">
        <f>IF(S362="","",VLOOKUP(S362,VALORACION!F:G,2,FALSE))</f>
        <v/>
      </c>
      <c r="U362" s="11"/>
      <c r="V362" s="80" t="str">
        <f>IF(U362="","",VLOOKUP(U362,ROLES!G:H,2,FALSE))</f>
        <v/>
      </c>
      <c r="W362" s="11"/>
      <c r="X362" s="80" t="str">
        <f>IF(W362="","",VLOOKUP(W362,ROLES!I:J,2,FALSE))</f>
        <v/>
      </c>
      <c r="Y362" s="95" t="e">
        <f t="shared" si="11"/>
        <v>#VALUE!</v>
      </c>
      <c r="Z362" s="6"/>
      <c r="AA362" s="6"/>
    </row>
    <row r="363" spans="1:27" ht="28.95" customHeight="1" x14ac:dyDescent="0.3">
      <c r="A363" s="91"/>
      <c r="B363" s="91"/>
      <c r="C363" s="80"/>
      <c r="D363" s="91"/>
      <c r="E363" s="80"/>
      <c r="F363" s="6"/>
      <c r="G363" s="6"/>
      <c r="H363" s="25"/>
      <c r="I363" s="133"/>
      <c r="J363" s="6"/>
      <c r="K363" s="6"/>
      <c r="L363" s="6"/>
      <c r="M363" s="6"/>
      <c r="N363" s="84"/>
      <c r="O363" s="80" t="str">
        <f>IF(N363="","",VLOOKUP(N363,ROLES!B:C,2,FALSE))</f>
        <v/>
      </c>
      <c r="P363" s="15"/>
      <c r="Q363" s="15"/>
      <c r="R363" s="16">
        <f t="shared" si="12"/>
        <v>0</v>
      </c>
      <c r="S363" s="16"/>
      <c r="T363" s="80" t="str">
        <f>IF(S363="","",VLOOKUP(S363,VALORACION!F:G,2,FALSE))</f>
        <v/>
      </c>
      <c r="U363" s="11"/>
      <c r="V363" s="80" t="str">
        <f>IF(U363="","",VLOOKUP(U363,ROLES!G:H,2,FALSE))</f>
        <v/>
      </c>
      <c r="W363" s="11"/>
      <c r="X363" s="80" t="str">
        <f>IF(W363="","",VLOOKUP(W363,ROLES!I:J,2,FALSE))</f>
        <v/>
      </c>
      <c r="Y363" s="95" t="e">
        <f t="shared" si="11"/>
        <v>#VALUE!</v>
      </c>
      <c r="Z363" s="6"/>
      <c r="AA363" s="6"/>
    </row>
    <row r="364" spans="1:27" ht="28.95" customHeight="1" x14ac:dyDescent="0.3">
      <c r="A364" s="91"/>
      <c r="B364" s="91"/>
      <c r="C364" s="80"/>
      <c r="D364" s="91"/>
      <c r="E364" s="80"/>
      <c r="F364" s="6"/>
      <c r="G364" s="6"/>
      <c r="H364" s="25"/>
      <c r="I364" s="133"/>
      <c r="J364" s="6"/>
      <c r="K364" s="6"/>
      <c r="L364" s="6"/>
      <c r="M364" s="6"/>
      <c r="N364" s="84"/>
      <c r="O364" s="80" t="str">
        <f>IF(N364="","",VLOOKUP(N364,ROLES!B:C,2,FALSE))</f>
        <v/>
      </c>
      <c r="P364" s="15"/>
      <c r="Q364" s="15"/>
      <c r="R364" s="16">
        <f t="shared" si="12"/>
        <v>0</v>
      </c>
      <c r="S364" s="16"/>
      <c r="T364" s="80" t="str">
        <f>IF(S364="","",VLOOKUP(S364,VALORACION!F:G,2,FALSE))</f>
        <v/>
      </c>
      <c r="U364" s="11"/>
      <c r="V364" s="80" t="str">
        <f>IF(U364="","",VLOOKUP(U364,ROLES!G:H,2,FALSE))</f>
        <v/>
      </c>
      <c r="W364" s="11"/>
      <c r="X364" s="80" t="str">
        <f>IF(W364="","",VLOOKUP(W364,ROLES!I:J,2,FALSE))</f>
        <v/>
      </c>
      <c r="Y364" s="95" t="e">
        <f t="shared" si="11"/>
        <v>#VALUE!</v>
      </c>
      <c r="Z364" s="6"/>
      <c r="AA364" s="6"/>
    </row>
    <row r="365" spans="1:27" ht="28.95" customHeight="1" x14ac:dyDescent="0.3">
      <c r="A365" s="91"/>
      <c r="B365" s="91"/>
      <c r="C365" s="80"/>
      <c r="D365" s="91"/>
      <c r="E365" s="80"/>
      <c r="F365" s="6"/>
      <c r="G365" s="6"/>
      <c r="H365" s="25"/>
      <c r="I365" s="133"/>
      <c r="J365" s="6"/>
      <c r="K365" s="6"/>
      <c r="L365" s="6"/>
      <c r="M365" s="6"/>
      <c r="N365" s="84"/>
      <c r="O365" s="80" t="str">
        <f>IF(N365="","",VLOOKUP(N365,ROLES!B:C,2,FALSE))</f>
        <v/>
      </c>
      <c r="P365" s="15"/>
      <c r="Q365" s="15"/>
      <c r="R365" s="16">
        <f t="shared" si="12"/>
        <v>0</v>
      </c>
      <c r="S365" s="16"/>
      <c r="T365" s="80" t="str">
        <f>IF(S365="","",VLOOKUP(S365,VALORACION!F:G,2,FALSE))</f>
        <v/>
      </c>
      <c r="U365" s="11"/>
      <c r="V365" s="80" t="str">
        <f>IF(U365="","",VLOOKUP(U365,ROLES!G:H,2,FALSE))</f>
        <v/>
      </c>
      <c r="W365" s="11"/>
      <c r="X365" s="80" t="str">
        <f>IF(W365="","",VLOOKUP(W365,ROLES!I:J,2,FALSE))</f>
        <v/>
      </c>
      <c r="Y365" s="95" t="e">
        <f t="shared" si="11"/>
        <v>#VALUE!</v>
      </c>
      <c r="Z365" s="6"/>
      <c r="AA365" s="6"/>
    </row>
    <row r="366" spans="1:27" ht="28.95" customHeight="1" x14ac:dyDescent="0.3">
      <c r="A366" s="91"/>
      <c r="B366" s="91"/>
      <c r="C366" s="80"/>
      <c r="D366" s="91"/>
      <c r="E366" s="80"/>
      <c r="F366" s="6"/>
      <c r="G366" s="6"/>
      <c r="H366" s="25"/>
      <c r="I366" s="133"/>
      <c r="J366" s="6"/>
      <c r="K366" s="6"/>
      <c r="L366" s="6"/>
      <c r="M366" s="6"/>
      <c r="N366" s="84"/>
      <c r="O366" s="80" t="str">
        <f>IF(N366="","",VLOOKUP(N366,ROLES!B:C,2,FALSE))</f>
        <v/>
      </c>
      <c r="P366" s="15"/>
      <c r="Q366" s="15"/>
      <c r="R366" s="16">
        <f t="shared" si="12"/>
        <v>0</v>
      </c>
      <c r="S366" s="16"/>
      <c r="T366" s="80" t="str">
        <f>IF(S366="","",VLOOKUP(S366,VALORACION!F:G,2,FALSE))</f>
        <v/>
      </c>
      <c r="U366" s="11"/>
      <c r="V366" s="80" t="str">
        <f>IF(U366="","",VLOOKUP(U366,ROLES!G:H,2,FALSE))</f>
        <v/>
      </c>
      <c r="W366" s="11"/>
      <c r="X366" s="80" t="str">
        <f>IF(W366="","",VLOOKUP(W366,ROLES!I:J,2,FALSE))</f>
        <v/>
      </c>
      <c r="Y366" s="95" t="e">
        <f t="shared" si="11"/>
        <v>#VALUE!</v>
      </c>
      <c r="Z366" s="6"/>
      <c r="AA366" s="6"/>
    </row>
    <row r="367" spans="1:27" ht="28.95" customHeight="1" x14ac:dyDescent="0.3">
      <c r="A367" s="91"/>
      <c r="B367" s="91"/>
      <c r="C367" s="80"/>
      <c r="D367" s="91"/>
      <c r="E367" s="80"/>
      <c r="F367" s="6"/>
      <c r="G367" s="6"/>
      <c r="H367" s="25"/>
      <c r="I367" s="133"/>
      <c r="J367" s="6"/>
      <c r="K367" s="6"/>
      <c r="L367" s="6"/>
      <c r="M367" s="6"/>
      <c r="N367" s="84"/>
      <c r="O367" s="80" t="str">
        <f>IF(N367="","",VLOOKUP(N367,ROLES!B:C,2,FALSE))</f>
        <v/>
      </c>
      <c r="P367" s="15"/>
      <c r="Q367" s="15"/>
      <c r="R367" s="16">
        <f t="shared" si="12"/>
        <v>0</v>
      </c>
      <c r="S367" s="16"/>
      <c r="T367" s="80" t="str">
        <f>IF(S367="","",VLOOKUP(S367,VALORACION!F:G,2,FALSE))</f>
        <v/>
      </c>
      <c r="U367" s="11"/>
      <c r="V367" s="80" t="str">
        <f>IF(U367="","",VLOOKUP(U367,ROLES!G:H,2,FALSE))</f>
        <v/>
      </c>
      <c r="W367" s="11"/>
      <c r="X367" s="80" t="str">
        <f>IF(W367="","",VLOOKUP(W367,ROLES!I:J,2,FALSE))</f>
        <v/>
      </c>
      <c r="Y367" s="95" t="e">
        <f t="shared" si="11"/>
        <v>#VALUE!</v>
      </c>
      <c r="Z367" s="6"/>
      <c r="AA367" s="6"/>
    </row>
    <row r="368" spans="1:27" ht="28.95" customHeight="1" x14ac:dyDescent="0.3">
      <c r="A368" s="91"/>
      <c r="B368" s="91"/>
      <c r="C368" s="80"/>
      <c r="D368" s="91"/>
      <c r="E368" s="80"/>
      <c r="F368" s="6"/>
      <c r="G368" s="6"/>
      <c r="H368" s="25"/>
      <c r="I368" s="133"/>
      <c r="J368" s="6"/>
      <c r="K368" s="6"/>
      <c r="L368" s="6"/>
      <c r="M368" s="6"/>
      <c r="N368" s="84"/>
      <c r="O368" s="80" t="str">
        <f>IF(N368="","",VLOOKUP(N368,ROLES!B:C,2,FALSE))</f>
        <v/>
      </c>
      <c r="P368" s="15"/>
      <c r="Q368" s="15"/>
      <c r="R368" s="16">
        <f t="shared" si="12"/>
        <v>0</v>
      </c>
      <c r="S368" s="16"/>
      <c r="T368" s="80" t="str">
        <f>IF(S368="","",VLOOKUP(S368,VALORACION!F:G,2,FALSE))</f>
        <v/>
      </c>
      <c r="U368" s="11"/>
      <c r="V368" s="80" t="str">
        <f>IF(U368="","",VLOOKUP(U368,ROLES!G:H,2,FALSE))</f>
        <v/>
      </c>
      <c r="W368" s="11"/>
      <c r="X368" s="80" t="str">
        <f>IF(W368="","",VLOOKUP(W368,ROLES!I:J,2,FALSE))</f>
        <v/>
      </c>
      <c r="Y368" s="95" t="e">
        <f t="shared" si="11"/>
        <v>#VALUE!</v>
      </c>
      <c r="Z368" s="6"/>
      <c r="AA368" s="6"/>
    </row>
    <row r="369" spans="1:27" ht="28.95" customHeight="1" x14ac:dyDescent="0.3">
      <c r="A369" s="91"/>
      <c r="B369" s="91"/>
      <c r="C369" s="80"/>
      <c r="D369" s="91"/>
      <c r="E369" s="80"/>
      <c r="F369" s="6"/>
      <c r="G369" s="6"/>
      <c r="H369" s="25"/>
      <c r="I369" s="133"/>
      <c r="J369" s="6"/>
      <c r="K369" s="6"/>
      <c r="L369" s="6"/>
      <c r="M369" s="6"/>
      <c r="N369" s="84"/>
      <c r="O369" s="80" t="str">
        <f>IF(N369="","",VLOOKUP(N369,ROLES!B:C,2,FALSE))</f>
        <v/>
      </c>
      <c r="P369" s="15"/>
      <c r="Q369" s="15"/>
      <c r="R369" s="16">
        <f t="shared" si="12"/>
        <v>0</v>
      </c>
      <c r="S369" s="16"/>
      <c r="T369" s="80" t="str">
        <f>IF(S369="","",VLOOKUP(S369,VALORACION!F:G,2,FALSE))</f>
        <v/>
      </c>
      <c r="U369" s="11"/>
      <c r="V369" s="80" t="str">
        <f>IF(U369="","",VLOOKUP(U369,ROLES!G:H,2,FALSE))</f>
        <v/>
      </c>
      <c r="W369" s="11"/>
      <c r="X369" s="80" t="str">
        <f>IF(W369="","",VLOOKUP(W369,ROLES!I:J,2,FALSE))</f>
        <v/>
      </c>
      <c r="Y369" s="95" t="e">
        <f t="shared" si="11"/>
        <v>#VALUE!</v>
      </c>
      <c r="Z369" s="6"/>
      <c r="AA369" s="6"/>
    </row>
    <row r="370" spans="1:27" ht="28.95" customHeight="1" x14ac:dyDescent="0.3">
      <c r="A370" s="91"/>
      <c r="B370" s="91"/>
      <c r="C370" s="80"/>
      <c r="D370" s="91"/>
      <c r="E370" s="80"/>
      <c r="F370" s="6"/>
      <c r="G370" s="6"/>
      <c r="H370" s="25"/>
      <c r="I370" s="133"/>
      <c r="J370" s="6"/>
      <c r="K370" s="6"/>
      <c r="L370" s="6"/>
      <c r="M370" s="6"/>
      <c r="N370" s="84"/>
      <c r="O370" s="80" t="str">
        <f>IF(N370="","",VLOOKUP(N370,ROLES!B:C,2,FALSE))</f>
        <v/>
      </c>
      <c r="P370" s="15"/>
      <c r="Q370" s="15"/>
      <c r="R370" s="16">
        <f t="shared" si="12"/>
        <v>0</v>
      </c>
      <c r="S370" s="16"/>
      <c r="T370" s="80" t="str">
        <f>IF(S370="","",VLOOKUP(S370,VALORACION!F:G,2,FALSE))</f>
        <v/>
      </c>
      <c r="U370" s="11"/>
      <c r="V370" s="80" t="str">
        <f>IF(U370="","",VLOOKUP(U370,ROLES!G:H,2,FALSE))</f>
        <v/>
      </c>
      <c r="W370" s="11"/>
      <c r="X370" s="80" t="str">
        <f>IF(W370="","",VLOOKUP(W370,ROLES!I:J,2,FALSE))</f>
        <v/>
      </c>
      <c r="Y370" s="95" t="e">
        <f t="shared" si="11"/>
        <v>#VALUE!</v>
      </c>
      <c r="Z370" s="6"/>
      <c r="AA370" s="6"/>
    </row>
    <row r="371" spans="1:27" ht="28.95" customHeight="1" x14ac:dyDescent="0.3">
      <c r="A371" s="91"/>
      <c r="B371" s="91"/>
      <c r="C371" s="80"/>
      <c r="D371" s="91"/>
      <c r="E371" s="80"/>
      <c r="F371" s="6"/>
      <c r="G371" s="6"/>
      <c r="H371" s="25"/>
      <c r="I371" s="133"/>
      <c r="J371" s="6"/>
      <c r="K371" s="6"/>
      <c r="L371" s="6"/>
      <c r="M371" s="6"/>
      <c r="N371" s="84"/>
      <c r="O371" s="80" t="str">
        <f>IF(N371="","",VLOOKUP(N371,ROLES!B:C,2,FALSE))</f>
        <v/>
      </c>
      <c r="P371" s="15"/>
      <c r="Q371" s="15"/>
      <c r="R371" s="16">
        <f t="shared" si="12"/>
        <v>0</v>
      </c>
      <c r="S371" s="16"/>
      <c r="T371" s="80" t="str">
        <f>IF(S371="","",VLOOKUP(S371,VALORACION!F:G,2,FALSE))</f>
        <v/>
      </c>
      <c r="U371" s="11"/>
      <c r="V371" s="80" t="str">
        <f>IF(U371="","",VLOOKUP(U371,ROLES!G:H,2,FALSE))</f>
        <v/>
      </c>
      <c r="W371" s="11"/>
      <c r="X371" s="80" t="str">
        <f>IF(W371="","",VLOOKUP(W371,ROLES!I:J,2,FALSE))</f>
        <v/>
      </c>
      <c r="Y371" s="95" t="e">
        <f t="shared" si="11"/>
        <v>#VALUE!</v>
      </c>
      <c r="Z371" s="6"/>
      <c r="AA371" s="6"/>
    </row>
    <row r="372" spans="1:27" ht="28.95" customHeight="1" x14ac:dyDescent="0.3">
      <c r="A372" s="91"/>
      <c r="B372" s="91"/>
      <c r="C372" s="80"/>
      <c r="D372" s="91"/>
      <c r="E372" s="80"/>
      <c r="F372" s="6"/>
      <c r="G372" s="6"/>
      <c r="H372" s="25"/>
      <c r="I372" s="133"/>
      <c r="J372" s="6"/>
      <c r="K372" s="6"/>
      <c r="L372" s="6"/>
      <c r="M372" s="6"/>
      <c r="N372" s="84"/>
      <c r="O372" s="80" t="str">
        <f>IF(N372="","",VLOOKUP(N372,ROLES!B:C,2,FALSE))</f>
        <v/>
      </c>
      <c r="P372" s="15"/>
      <c r="Q372" s="15"/>
      <c r="R372" s="16">
        <f t="shared" si="12"/>
        <v>0</v>
      </c>
      <c r="S372" s="16"/>
      <c r="T372" s="80" t="str">
        <f>IF(S372="","",VLOOKUP(S372,VALORACION!F:G,2,FALSE))</f>
        <v/>
      </c>
      <c r="U372" s="11"/>
      <c r="V372" s="80" t="str">
        <f>IF(U372="","",VLOOKUP(U372,ROLES!G:H,2,FALSE))</f>
        <v/>
      </c>
      <c r="W372" s="11"/>
      <c r="X372" s="80" t="str">
        <f>IF(W372="","",VLOOKUP(W372,ROLES!I:J,2,FALSE))</f>
        <v/>
      </c>
      <c r="Y372" s="95" t="e">
        <f t="shared" si="11"/>
        <v>#VALUE!</v>
      </c>
      <c r="Z372" s="6"/>
      <c r="AA372" s="6"/>
    </row>
    <row r="373" spans="1:27" ht="28.95" customHeight="1" x14ac:dyDescent="0.3">
      <c r="A373" s="91"/>
      <c r="B373" s="91"/>
      <c r="C373" s="80"/>
      <c r="D373" s="91"/>
      <c r="E373" s="80"/>
      <c r="F373" s="6"/>
      <c r="G373" s="6"/>
      <c r="H373" s="25"/>
      <c r="I373" s="133"/>
      <c r="J373" s="6"/>
      <c r="K373" s="6"/>
      <c r="L373" s="6"/>
      <c r="M373" s="6"/>
      <c r="N373" s="84"/>
      <c r="O373" s="80" t="str">
        <f>IF(N373="","",VLOOKUP(N373,ROLES!B:C,2,FALSE))</f>
        <v/>
      </c>
      <c r="P373" s="15"/>
      <c r="Q373" s="15"/>
      <c r="R373" s="16">
        <f t="shared" si="12"/>
        <v>0</v>
      </c>
      <c r="S373" s="16"/>
      <c r="T373" s="80" t="str">
        <f>IF(S373="","",VLOOKUP(S373,VALORACION!F:G,2,FALSE))</f>
        <v/>
      </c>
      <c r="U373" s="11"/>
      <c r="V373" s="80" t="str">
        <f>IF(U373="","",VLOOKUP(U373,ROLES!G:H,2,FALSE))</f>
        <v/>
      </c>
      <c r="W373" s="11"/>
      <c r="X373" s="80" t="str">
        <f>IF(W373="","",VLOOKUP(W373,ROLES!I:J,2,FALSE))</f>
        <v/>
      </c>
      <c r="Y373" s="95" t="e">
        <f t="shared" si="11"/>
        <v>#VALUE!</v>
      </c>
      <c r="Z373" s="6"/>
      <c r="AA373" s="6"/>
    </row>
    <row r="374" spans="1:27" ht="28.95" customHeight="1" x14ac:dyDescent="0.3">
      <c r="A374" s="91"/>
      <c r="B374" s="91"/>
      <c r="C374" s="80"/>
      <c r="D374" s="91"/>
      <c r="E374" s="80"/>
      <c r="F374" s="6"/>
      <c r="G374" s="6"/>
      <c r="H374" s="25"/>
      <c r="I374" s="133"/>
      <c r="J374" s="6"/>
      <c r="K374" s="6"/>
      <c r="L374" s="6"/>
      <c r="M374" s="6"/>
      <c r="N374" s="84"/>
      <c r="O374" s="80" t="str">
        <f>IF(N374="","",VLOOKUP(N374,ROLES!B:C,2,FALSE))</f>
        <v/>
      </c>
      <c r="P374" s="15"/>
      <c r="Q374" s="15"/>
      <c r="R374" s="16">
        <f t="shared" si="12"/>
        <v>0</v>
      </c>
      <c r="S374" s="16"/>
      <c r="T374" s="80" t="str">
        <f>IF(S374="","",VLOOKUP(S374,VALORACION!F:G,2,FALSE))</f>
        <v/>
      </c>
      <c r="U374" s="11"/>
      <c r="V374" s="80" t="str">
        <f>IF(U374="","",VLOOKUP(U374,ROLES!G:H,2,FALSE))</f>
        <v/>
      </c>
      <c r="W374" s="11"/>
      <c r="X374" s="80" t="str">
        <f>IF(W374="","",VLOOKUP(W374,ROLES!I:J,2,FALSE))</f>
        <v/>
      </c>
      <c r="Y374" s="95" t="e">
        <f t="shared" si="11"/>
        <v>#VALUE!</v>
      </c>
      <c r="Z374" s="6"/>
      <c r="AA374" s="6"/>
    </row>
    <row r="375" spans="1:27" ht="28.95" customHeight="1" x14ac:dyDescent="0.3">
      <c r="A375" s="91"/>
      <c r="B375" s="91"/>
      <c r="C375" s="80"/>
      <c r="D375" s="91"/>
      <c r="E375" s="80"/>
      <c r="F375" s="6"/>
      <c r="G375" s="6"/>
      <c r="H375" s="25"/>
      <c r="I375" s="133"/>
      <c r="J375" s="6"/>
      <c r="K375" s="6"/>
      <c r="L375" s="6"/>
      <c r="M375" s="6"/>
      <c r="N375" s="84"/>
      <c r="O375" s="80" t="str">
        <f>IF(N375="","",VLOOKUP(N375,ROLES!B:C,2,FALSE))</f>
        <v/>
      </c>
      <c r="P375" s="15"/>
      <c r="Q375" s="15"/>
      <c r="R375" s="16">
        <f t="shared" si="12"/>
        <v>0</v>
      </c>
      <c r="S375" s="16"/>
      <c r="T375" s="80" t="str">
        <f>IF(S375="","",VLOOKUP(S375,VALORACION!F:G,2,FALSE))</f>
        <v/>
      </c>
      <c r="U375" s="11"/>
      <c r="V375" s="80" t="str">
        <f>IF(U375="","",VLOOKUP(U375,ROLES!G:H,2,FALSE))</f>
        <v/>
      </c>
      <c r="W375" s="11"/>
      <c r="X375" s="80" t="str">
        <f>IF(W375="","",VLOOKUP(W375,ROLES!I:J,2,FALSE))</f>
        <v/>
      </c>
      <c r="Y375" s="95" t="e">
        <f t="shared" si="11"/>
        <v>#VALUE!</v>
      </c>
      <c r="Z375" s="6"/>
      <c r="AA375" s="6"/>
    </row>
    <row r="376" spans="1:27" ht="28.95" customHeight="1" x14ac:dyDescent="0.3">
      <c r="A376" s="91"/>
      <c r="B376" s="91"/>
      <c r="C376" s="80"/>
      <c r="D376" s="91"/>
      <c r="E376" s="80"/>
      <c r="F376" s="6"/>
      <c r="G376" s="6"/>
      <c r="H376" s="25"/>
      <c r="I376" s="133"/>
      <c r="J376" s="6"/>
      <c r="K376" s="6"/>
      <c r="L376" s="6"/>
      <c r="M376" s="6"/>
      <c r="N376" s="84"/>
      <c r="O376" s="80" t="str">
        <f>IF(N376="","",VLOOKUP(N376,ROLES!B:C,2,FALSE))</f>
        <v/>
      </c>
      <c r="P376" s="15"/>
      <c r="Q376" s="15"/>
      <c r="R376" s="16">
        <f t="shared" si="12"/>
        <v>0</v>
      </c>
      <c r="S376" s="16"/>
      <c r="T376" s="80" t="str">
        <f>IF(S376="","",VLOOKUP(S376,VALORACION!F:G,2,FALSE))</f>
        <v/>
      </c>
      <c r="U376" s="11"/>
      <c r="V376" s="80" t="str">
        <f>IF(U376="","",VLOOKUP(U376,ROLES!G:H,2,FALSE))</f>
        <v/>
      </c>
      <c r="W376" s="11"/>
      <c r="X376" s="80" t="str">
        <f>IF(W376="","",VLOOKUP(W376,ROLES!I:J,2,FALSE))</f>
        <v/>
      </c>
      <c r="Y376" s="95" t="e">
        <f t="shared" si="11"/>
        <v>#VALUE!</v>
      </c>
      <c r="Z376" s="6"/>
      <c r="AA376" s="6"/>
    </row>
    <row r="377" spans="1:27" ht="28.95" customHeight="1" x14ac:dyDescent="0.3">
      <c r="A377" s="91"/>
      <c r="B377" s="91"/>
      <c r="C377" s="80"/>
      <c r="D377" s="91"/>
      <c r="E377" s="80"/>
      <c r="F377" s="6"/>
      <c r="G377" s="6"/>
      <c r="H377" s="25"/>
      <c r="I377" s="133"/>
      <c r="J377" s="6"/>
      <c r="K377" s="6"/>
      <c r="L377" s="6"/>
      <c r="M377" s="6"/>
      <c r="N377" s="84"/>
      <c r="O377" s="80" t="str">
        <f>IF(N377="","",VLOOKUP(N377,ROLES!B:C,2,FALSE))</f>
        <v/>
      </c>
      <c r="P377" s="15"/>
      <c r="Q377" s="15"/>
      <c r="R377" s="16">
        <f t="shared" si="12"/>
        <v>0</v>
      </c>
      <c r="S377" s="16"/>
      <c r="T377" s="80" t="str">
        <f>IF(S377="","",VLOOKUP(S377,VALORACION!F:G,2,FALSE))</f>
        <v/>
      </c>
      <c r="U377" s="11"/>
      <c r="V377" s="80" t="str">
        <f>IF(U377="","",VLOOKUP(U377,ROLES!G:H,2,FALSE))</f>
        <v/>
      </c>
      <c r="W377" s="11"/>
      <c r="X377" s="80" t="str">
        <f>IF(W377="","",VLOOKUP(W377,ROLES!I:J,2,FALSE))</f>
        <v/>
      </c>
      <c r="Y377" s="95" t="e">
        <f t="shared" si="11"/>
        <v>#VALUE!</v>
      </c>
      <c r="Z377" s="6"/>
      <c r="AA377" s="6"/>
    </row>
    <row r="378" spans="1:27" ht="28.95" customHeight="1" x14ac:dyDescent="0.3">
      <c r="A378" s="91"/>
      <c r="B378" s="91"/>
      <c r="C378" s="80"/>
      <c r="D378" s="91"/>
      <c r="E378" s="80"/>
      <c r="F378" s="6"/>
      <c r="G378" s="6"/>
      <c r="H378" s="25"/>
      <c r="I378" s="133"/>
      <c r="J378" s="6"/>
      <c r="K378" s="6"/>
      <c r="L378" s="6"/>
      <c r="M378" s="6"/>
      <c r="N378" s="84"/>
      <c r="O378" s="80" t="str">
        <f>IF(N378="","",VLOOKUP(N378,ROLES!B:C,2,FALSE))</f>
        <v/>
      </c>
      <c r="P378" s="15"/>
      <c r="Q378" s="15"/>
      <c r="R378" s="16">
        <f t="shared" si="12"/>
        <v>0</v>
      </c>
      <c r="S378" s="16"/>
      <c r="T378" s="80" t="str">
        <f>IF(S378="","",VLOOKUP(S378,VALORACION!F:G,2,FALSE))</f>
        <v/>
      </c>
      <c r="U378" s="11"/>
      <c r="V378" s="80" t="str">
        <f>IF(U378="","",VLOOKUP(U378,ROLES!G:H,2,FALSE))</f>
        <v/>
      </c>
      <c r="W378" s="11"/>
      <c r="X378" s="80" t="str">
        <f>IF(W378="","",VLOOKUP(W378,ROLES!I:J,2,FALSE))</f>
        <v/>
      </c>
      <c r="Y378" s="95" t="e">
        <f t="shared" si="11"/>
        <v>#VALUE!</v>
      </c>
      <c r="Z378" s="6"/>
      <c r="AA378" s="6"/>
    </row>
    <row r="379" spans="1:27" ht="28.95" customHeight="1" x14ac:dyDescent="0.3">
      <c r="A379" s="91"/>
      <c r="B379" s="91"/>
      <c r="C379" s="80"/>
      <c r="D379" s="91"/>
      <c r="E379" s="80"/>
      <c r="F379" s="6"/>
      <c r="G379" s="6"/>
      <c r="H379" s="25"/>
      <c r="I379" s="133"/>
      <c r="J379" s="6"/>
      <c r="K379" s="6"/>
      <c r="L379" s="6"/>
      <c r="M379" s="6"/>
      <c r="N379" s="84"/>
      <c r="O379" s="80" t="str">
        <f>IF(N379="","",VLOOKUP(N379,ROLES!B:C,2,FALSE))</f>
        <v/>
      </c>
      <c r="P379" s="15"/>
      <c r="Q379" s="15"/>
      <c r="R379" s="16">
        <f t="shared" si="12"/>
        <v>0</v>
      </c>
      <c r="S379" s="16"/>
      <c r="T379" s="80" t="str">
        <f>IF(S379="","",VLOOKUP(S379,VALORACION!F:G,2,FALSE))</f>
        <v/>
      </c>
      <c r="U379" s="11"/>
      <c r="V379" s="80" t="str">
        <f>IF(U379="","",VLOOKUP(U379,ROLES!G:H,2,FALSE))</f>
        <v/>
      </c>
      <c r="W379" s="11"/>
      <c r="X379" s="80" t="str">
        <f>IF(W379="","",VLOOKUP(W379,ROLES!I:J,2,FALSE))</f>
        <v/>
      </c>
      <c r="Y379" s="95" t="e">
        <f t="shared" si="11"/>
        <v>#VALUE!</v>
      </c>
      <c r="Z379" s="6"/>
      <c r="AA379" s="6"/>
    </row>
    <row r="380" spans="1:27" ht="28.95" customHeight="1" x14ac:dyDescent="0.3">
      <c r="A380" s="91"/>
      <c r="B380" s="91"/>
      <c r="C380" s="80"/>
      <c r="D380" s="91"/>
      <c r="E380" s="80"/>
      <c r="F380" s="6"/>
      <c r="G380" s="6"/>
      <c r="H380" s="25"/>
      <c r="I380" s="133"/>
      <c r="J380" s="6"/>
      <c r="K380" s="6"/>
      <c r="L380" s="6"/>
      <c r="M380" s="6"/>
      <c r="N380" s="84"/>
      <c r="O380" s="80" t="str">
        <f>IF(N380="","",VLOOKUP(N380,ROLES!B:C,2,FALSE))</f>
        <v/>
      </c>
      <c r="P380" s="15"/>
      <c r="Q380" s="15"/>
      <c r="R380" s="16">
        <f t="shared" si="12"/>
        <v>0</v>
      </c>
      <c r="S380" s="16"/>
      <c r="T380" s="80" t="str">
        <f>IF(S380="","",VLOOKUP(S380,VALORACION!F:G,2,FALSE))</f>
        <v/>
      </c>
      <c r="U380" s="11"/>
      <c r="V380" s="80" t="str">
        <f>IF(U380="","",VLOOKUP(U380,ROLES!G:H,2,FALSE))</f>
        <v/>
      </c>
      <c r="W380" s="11"/>
      <c r="X380" s="80" t="str">
        <f>IF(W380="","",VLOOKUP(W380,ROLES!I:J,2,FALSE))</f>
        <v/>
      </c>
      <c r="Y380" s="95" t="e">
        <f t="shared" si="11"/>
        <v>#VALUE!</v>
      </c>
      <c r="Z380" s="6"/>
      <c r="AA380" s="6"/>
    </row>
    <row r="381" spans="1:27" ht="28.95" customHeight="1" x14ac:dyDescent="0.3">
      <c r="A381" s="91"/>
      <c r="B381" s="91"/>
      <c r="C381" s="80"/>
      <c r="D381" s="91"/>
      <c r="E381" s="80"/>
      <c r="F381" s="6"/>
      <c r="G381" s="6"/>
      <c r="H381" s="25"/>
      <c r="I381" s="133"/>
      <c r="J381" s="6"/>
      <c r="K381" s="6"/>
      <c r="L381" s="6"/>
      <c r="M381" s="6"/>
      <c r="N381" s="84"/>
      <c r="O381" s="80" t="str">
        <f>IF(N381="","",VLOOKUP(N381,ROLES!B:C,2,FALSE))</f>
        <v/>
      </c>
      <c r="P381" s="15"/>
      <c r="Q381" s="15"/>
      <c r="R381" s="16">
        <f t="shared" si="12"/>
        <v>0</v>
      </c>
      <c r="S381" s="16"/>
      <c r="T381" s="80" t="str">
        <f>IF(S381="","",VLOOKUP(S381,VALORACION!F:G,2,FALSE))</f>
        <v/>
      </c>
      <c r="U381" s="11"/>
      <c r="V381" s="80" t="str">
        <f>IF(U381="","",VLOOKUP(U381,ROLES!G:H,2,FALSE))</f>
        <v/>
      </c>
      <c r="W381" s="11"/>
      <c r="X381" s="80" t="str">
        <f>IF(W381="","",VLOOKUP(W381,ROLES!I:J,2,FALSE))</f>
        <v/>
      </c>
      <c r="Y381" s="95" t="e">
        <f t="shared" si="11"/>
        <v>#VALUE!</v>
      </c>
      <c r="Z381" s="6"/>
      <c r="AA381" s="6"/>
    </row>
    <row r="382" spans="1:27" ht="28.95" customHeight="1" x14ac:dyDescent="0.3">
      <c r="A382" s="91"/>
      <c r="B382" s="91"/>
      <c r="C382" s="80"/>
      <c r="D382" s="91"/>
      <c r="E382" s="80"/>
      <c r="F382" s="6"/>
      <c r="G382" s="6"/>
      <c r="H382" s="25"/>
      <c r="I382" s="133"/>
      <c r="J382" s="6"/>
      <c r="K382" s="6"/>
      <c r="L382" s="6"/>
      <c r="M382" s="6"/>
      <c r="N382" s="84"/>
      <c r="O382" s="80" t="str">
        <f>IF(N382="","",VLOOKUP(N382,ROLES!B:C,2,FALSE))</f>
        <v/>
      </c>
      <c r="P382" s="15"/>
      <c r="Q382" s="15"/>
      <c r="R382" s="16">
        <f t="shared" si="12"/>
        <v>0</v>
      </c>
      <c r="S382" s="16"/>
      <c r="T382" s="80" t="str">
        <f>IF(S382="","",VLOOKUP(S382,VALORACION!F:G,2,FALSE))</f>
        <v/>
      </c>
      <c r="U382" s="11"/>
      <c r="V382" s="80" t="str">
        <f>IF(U382="","",VLOOKUP(U382,ROLES!G:H,2,FALSE))</f>
        <v/>
      </c>
      <c r="W382" s="11"/>
      <c r="X382" s="80" t="str">
        <f>IF(W382="","",VLOOKUP(W382,ROLES!I:J,2,FALSE))</f>
        <v/>
      </c>
      <c r="Y382" s="95" t="e">
        <f t="shared" si="11"/>
        <v>#VALUE!</v>
      </c>
      <c r="Z382" s="6"/>
      <c r="AA382" s="6"/>
    </row>
    <row r="383" spans="1:27" ht="28.95" customHeight="1" x14ac:dyDescent="0.3">
      <c r="A383" s="91"/>
      <c r="B383" s="91"/>
      <c r="C383" s="80"/>
      <c r="D383" s="91"/>
      <c r="E383" s="80"/>
      <c r="F383" s="6"/>
      <c r="G383" s="6"/>
      <c r="H383" s="25"/>
      <c r="I383" s="133"/>
      <c r="J383" s="6"/>
      <c r="K383" s="6"/>
      <c r="L383" s="6"/>
      <c r="M383" s="6"/>
      <c r="N383" s="84"/>
      <c r="O383" s="80" t="str">
        <f>IF(N383="","",VLOOKUP(N383,ROLES!B:C,2,FALSE))</f>
        <v/>
      </c>
      <c r="P383" s="15"/>
      <c r="Q383" s="15"/>
      <c r="R383" s="16">
        <f t="shared" si="12"/>
        <v>0</v>
      </c>
      <c r="S383" s="16"/>
      <c r="T383" s="80" t="str">
        <f>IF(S383="","",VLOOKUP(S383,VALORACION!F:G,2,FALSE))</f>
        <v/>
      </c>
      <c r="U383" s="11"/>
      <c r="V383" s="80" t="str">
        <f>IF(U383="","",VLOOKUP(U383,ROLES!G:H,2,FALSE))</f>
        <v/>
      </c>
      <c r="W383" s="11"/>
      <c r="X383" s="80" t="str">
        <f>IF(W383="","",VLOOKUP(W383,ROLES!I:J,2,FALSE))</f>
        <v/>
      </c>
      <c r="Y383" s="95" t="e">
        <f t="shared" si="11"/>
        <v>#VALUE!</v>
      </c>
      <c r="Z383" s="6"/>
      <c r="AA383" s="6"/>
    </row>
    <row r="384" spans="1:27" ht="28.95" customHeight="1" x14ac:dyDescent="0.3">
      <c r="A384" s="91"/>
      <c r="B384" s="91"/>
      <c r="C384" s="80"/>
      <c r="D384" s="91"/>
      <c r="E384" s="80"/>
      <c r="F384" s="6"/>
      <c r="G384" s="6"/>
      <c r="H384" s="25"/>
      <c r="I384" s="133"/>
      <c r="J384" s="6"/>
      <c r="K384" s="6"/>
      <c r="L384" s="6"/>
      <c r="M384" s="6"/>
      <c r="N384" s="84"/>
      <c r="O384" s="80" t="str">
        <f>IF(N384="","",VLOOKUP(N384,ROLES!B:C,2,FALSE))</f>
        <v/>
      </c>
      <c r="P384" s="15"/>
      <c r="Q384" s="15"/>
      <c r="R384" s="16">
        <f t="shared" si="12"/>
        <v>0</v>
      </c>
      <c r="S384" s="16"/>
      <c r="T384" s="80" t="str">
        <f>IF(S384="","",VLOOKUP(S384,VALORACION!F:G,2,FALSE))</f>
        <v/>
      </c>
      <c r="U384" s="11"/>
      <c r="V384" s="80" t="str">
        <f>IF(U384="","",VLOOKUP(U384,ROLES!G:H,2,FALSE))</f>
        <v/>
      </c>
      <c r="W384" s="11"/>
      <c r="X384" s="80" t="str">
        <f>IF(W384="","",VLOOKUP(W384,ROLES!I:J,2,FALSE))</f>
        <v/>
      </c>
      <c r="Y384" s="95" t="e">
        <f t="shared" si="11"/>
        <v>#VALUE!</v>
      </c>
      <c r="Z384" s="6"/>
      <c r="AA384" s="6"/>
    </row>
    <row r="385" spans="1:27" ht="28.95" customHeight="1" x14ac:dyDescent="0.3">
      <c r="A385" s="91"/>
      <c r="B385" s="91"/>
      <c r="C385" s="80"/>
      <c r="D385" s="91"/>
      <c r="E385" s="80"/>
      <c r="F385" s="6"/>
      <c r="G385" s="6"/>
      <c r="H385" s="25"/>
      <c r="I385" s="133"/>
      <c r="J385" s="6"/>
      <c r="K385" s="6"/>
      <c r="L385" s="6"/>
      <c r="M385" s="6"/>
      <c r="N385" s="84"/>
      <c r="O385" s="80" t="str">
        <f>IF(N385="","",VLOOKUP(N385,ROLES!B:C,2,FALSE))</f>
        <v/>
      </c>
      <c r="P385" s="15"/>
      <c r="Q385" s="15"/>
      <c r="R385" s="16">
        <f t="shared" si="12"/>
        <v>0</v>
      </c>
      <c r="S385" s="16"/>
      <c r="T385" s="80" t="str">
        <f>IF(S385="","",VLOOKUP(S385,VALORACION!F:G,2,FALSE))</f>
        <v/>
      </c>
      <c r="U385" s="11"/>
      <c r="V385" s="80" t="str">
        <f>IF(U385="","",VLOOKUP(U385,ROLES!G:H,2,FALSE))</f>
        <v/>
      </c>
      <c r="W385" s="11"/>
      <c r="X385" s="80" t="str">
        <f>IF(W385="","",VLOOKUP(W385,ROLES!I:J,2,FALSE))</f>
        <v/>
      </c>
      <c r="Y385" s="95" t="e">
        <f t="shared" si="11"/>
        <v>#VALUE!</v>
      </c>
      <c r="Z385" s="6"/>
      <c r="AA385" s="6"/>
    </row>
    <row r="386" spans="1:27" ht="28.95" customHeight="1" x14ac:dyDescent="0.3">
      <c r="A386" s="91"/>
      <c r="B386" s="91"/>
      <c r="C386" s="80"/>
      <c r="D386" s="91"/>
      <c r="E386" s="80"/>
      <c r="F386" s="6"/>
      <c r="G386" s="6"/>
      <c r="H386" s="25"/>
      <c r="I386" s="133"/>
      <c r="J386" s="6"/>
      <c r="K386" s="6"/>
      <c r="L386" s="6"/>
      <c r="M386" s="6"/>
      <c r="N386" s="84"/>
      <c r="O386" s="80" t="str">
        <f>IF(N386="","",VLOOKUP(N386,ROLES!B:C,2,FALSE))</f>
        <v/>
      </c>
      <c r="P386" s="15"/>
      <c r="Q386" s="15"/>
      <c r="R386" s="16">
        <f t="shared" si="12"/>
        <v>0</v>
      </c>
      <c r="S386" s="16"/>
      <c r="T386" s="80" t="str">
        <f>IF(S386="","",VLOOKUP(S386,VALORACION!F:G,2,FALSE))</f>
        <v/>
      </c>
      <c r="U386" s="11"/>
      <c r="V386" s="80" t="str">
        <f>IF(U386="","",VLOOKUP(U386,ROLES!G:H,2,FALSE))</f>
        <v/>
      </c>
      <c r="W386" s="11"/>
      <c r="X386" s="80" t="str">
        <f>IF(W386="","",VLOOKUP(W386,ROLES!I:J,2,FALSE))</f>
        <v/>
      </c>
      <c r="Y386" s="95" t="e">
        <f t="shared" si="11"/>
        <v>#VALUE!</v>
      </c>
      <c r="Z386" s="6"/>
      <c r="AA386" s="6"/>
    </row>
    <row r="387" spans="1:27" ht="28.95" customHeight="1" x14ac:dyDescent="0.3">
      <c r="A387" s="91"/>
      <c r="B387" s="91"/>
      <c r="C387" s="80"/>
      <c r="D387" s="91"/>
      <c r="E387" s="80"/>
      <c r="F387" s="6"/>
      <c r="G387" s="6"/>
      <c r="H387" s="25"/>
      <c r="I387" s="133"/>
      <c r="J387" s="6"/>
      <c r="K387" s="6"/>
      <c r="L387" s="6"/>
      <c r="M387" s="6"/>
      <c r="N387" s="84"/>
      <c r="O387" s="80" t="str">
        <f>IF(N387="","",VLOOKUP(N387,ROLES!B:C,2,FALSE))</f>
        <v/>
      </c>
      <c r="P387" s="15"/>
      <c r="Q387" s="15"/>
      <c r="R387" s="16">
        <f t="shared" si="12"/>
        <v>0</v>
      </c>
      <c r="S387" s="16"/>
      <c r="T387" s="80" t="str">
        <f>IF(S387="","",VLOOKUP(S387,VALORACION!F:G,2,FALSE))</f>
        <v/>
      </c>
      <c r="U387" s="11"/>
      <c r="V387" s="80" t="str">
        <f>IF(U387="","",VLOOKUP(U387,ROLES!G:H,2,FALSE))</f>
        <v/>
      </c>
      <c r="W387" s="11"/>
      <c r="X387" s="80" t="str">
        <f>IF(W387="","",VLOOKUP(W387,ROLES!I:J,2,FALSE))</f>
        <v/>
      </c>
      <c r="Y387" s="95" t="e">
        <f t="shared" si="11"/>
        <v>#VALUE!</v>
      </c>
      <c r="Z387" s="6"/>
      <c r="AA387" s="6"/>
    </row>
    <row r="388" spans="1:27" ht="28.95" customHeight="1" x14ac:dyDescent="0.3">
      <c r="A388" s="91"/>
      <c r="B388" s="91"/>
      <c r="C388" s="80"/>
      <c r="D388" s="91"/>
      <c r="E388" s="80"/>
      <c r="F388" s="6"/>
      <c r="G388" s="6"/>
      <c r="H388" s="25"/>
      <c r="I388" s="133"/>
      <c r="J388" s="6"/>
      <c r="K388" s="6"/>
      <c r="L388" s="6"/>
      <c r="M388" s="6"/>
      <c r="N388" s="84"/>
      <c r="O388" s="80" t="str">
        <f>IF(N388="","",VLOOKUP(N388,ROLES!B:C,2,FALSE))</f>
        <v/>
      </c>
      <c r="P388" s="15"/>
      <c r="Q388" s="15"/>
      <c r="R388" s="16">
        <f t="shared" si="12"/>
        <v>0</v>
      </c>
      <c r="S388" s="16"/>
      <c r="T388" s="80" t="str">
        <f>IF(S388="","",VLOOKUP(S388,VALORACION!F:G,2,FALSE))</f>
        <v/>
      </c>
      <c r="U388" s="11"/>
      <c r="V388" s="80" t="str">
        <f>IF(U388="","",VLOOKUP(U388,ROLES!G:H,2,FALSE))</f>
        <v/>
      </c>
      <c r="W388" s="11"/>
      <c r="X388" s="80" t="str">
        <f>IF(W388="","",VLOOKUP(W388,ROLES!I:J,2,FALSE))</f>
        <v/>
      </c>
      <c r="Y388" s="95" t="e">
        <f t="shared" si="11"/>
        <v>#VALUE!</v>
      </c>
      <c r="Z388" s="6"/>
      <c r="AA388" s="6"/>
    </row>
    <row r="389" spans="1:27" ht="28.95" customHeight="1" x14ac:dyDescent="0.3">
      <c r="A389" s="91"/>
      <c r="B389" s="91"/>
      <c r="C389" s="80"/>
      <c r="D389" s="91"/>
      <c r="E389" s="80"/>
      <c r="F389" s="6"/>
      <c r="G389" s="6"/>
      <c r="H389" s="25"/>
      <c r="I389" s="133"/>
      <c r="J389" s="6"/>
      <c r="K389" s="6"/>
      <c r="L389" s="6"/>
      <c r="M389" s="6"/>
      <c r="N389" s="84"/>
      <c r="O389" s="80" t="str">
        <f>IF(N389="","",VLOOKUP(N389,ROLES!B:C,2,FALSE))</f>
        <v/>
      </c>
      <c r="P389" s="15"/>
      <c r="Q389" s="15"/>
      <c r="R389" s="16">
        <f t="shared" si="12"/>
        <v>0</v>
      </c>
      <c r="S389" s="16"/>
      <c r="T389" s="80" t="str">
        <f>IF(S389="","",VLOOKUP(S389,VALORACION!F:G,2,FALSE))</f>
        <v/>
      </c>
      <c r="U389" s="11"/>
      <c r="V389" s="80" t="str">
        <f>IF(U389="","",VLOOKUP(U389,ROLES!G:H,2,FALSE))</f>
        <v/>
      </c>
      <c r="W389" s="11"/>
      <c r="X389" s="80" t="str">
        <f>IF(W389="","",VLOOKUP(W389,ROLES!I:J,2,FALSE))</f>
        <v/>
      </c>
      <c r="Y389" s="95" t="e">
        <f t="shared" ref="Y389:Y452" si="13">(VALUE(O389)+VALUE(V389)+VALUE(X389)+VALUE(T389))/3</f>
        <v>#VALUE!</v>
      </c>
      <c r="Z389" s="6"/>
      <c r="AA389" s="6"/>
    </row>
    <row r="390" spans="1:27" ht="28.95" customHeight="1" x14ac:dyDescent="0.3">
      <c r="A390" s="91"/>
      <c r="B390" s="91"/>
      <c r="C390" s="80"/>
      <c r="D390" s="91"/>
      <c r="E390" s="80"/>
      <c r="F390" s="6"/>
      <c r="G390" s="6"/>
      <c r="H390" s="25"/>
      <c r="I390" s="133"/>
      <c r="J390" s="6"/>
      <c r="K390" s="6"/>
      <c r="L390" s="6"/>
      <c r="M390" s="6"/>
      <c r="N390" s="84"/>
      <c r="O390" s="80" t="str">
        <f>IF(N390="","",VLOOKUP(N390,ROLES!B:C,2,FALSE))</f>
        <v/>
      </c>
      <c r="P390" s="15"/>
      <c r="Q390" s="15"/>
      <c r="R390" s="16">
        <f t="shared" si="12"/>
        <v>0</v>
      </c>
      <c r="S390" s="16"/>
      <c r="T390" s="80" t="str">
        <f>IF(S390="","",VLOOKUP(S390,VALORACION!F:G,2,FALSE))</f>
        <v/>
      </c>
      <c r="U390" s="11"/>
      <c r="V390" s="80" t="str">
        <f>IF(U390="","",VLOOKUP(U390,ROLES!G:H,2,FALSE))</f>
        <v/>
      </c>
      <c r="W390" s="11"/>
      <c r="X390" s="80" t="str">
        <f>IF(W390="","",VLOOKUP(W390,ROLES!I:J,2,FALSE))</f>
        <v/>
      </c>
      <c r="Y390" s="95" t="e">
        <f t="shared" si="13"/>
        <v>#VALUE!</v>
      </c>
      <c r="Z390" s="6"/>
      <c r="AA390" s="6"/>
    </row>
    <row r="391" spans="1:27" ht="28.95" customHeight="1" x14ac:dyDescent="0.3">
      <c r="A391" s="91"/>
      <c r="B391" s="91"/>
      <c r="C391" s="80"/>
      <c r="D391" s="91"/>
      <c r="E391" s="80"/>
      <c r="F391" s="6"/>
      <c r="G391" s="6"/>
      <c r="H391" s="25"/>
      <c r="I391" s="133"/>
      <c r="J391" s="6"/>
      <c r="K391" s="6"/>
      <c r="L391" s="6"/>
      <c r="M391" s="6"/>
      <c r="N391" s="84"/>
      <c r="O391" s="80" t="str">
        <f>IF(N391="","",VLOOKUP(N391,ROLES!B:C,2,FALSE))</f>
        <v/>
      </c>
      <c r="P391" s="15"/>
      <c r="Q391" s="15"/>
      <c r="R391" s="16">
        <f t="shared" ref="R391:R454" si="14">DATEDIF(P391,Q391,"m")</f>
        <v>0</v>
      </c>
      <c r="S391" s="16"/>
      <c r="T391" s="80" t="str">
        <f>IF(S391="","",VLOOKUP(S391,VALORACION!F:G,2,FALSE))</f>
        <v/>
      </c>
      <c r="U391" s="11"/>
      <c r="V391" s="80" t="str">
        <f>IF(U391="","",VLOOKUP(U391,ROLES!G:H,2,FALSE))</f>
        <v/>
      </c>
      <c r="W391" s="11"/>
      <c r="X391" s="80" t="str">
        <f>IF(W391="","",VLOOKUP(W391,ROLES!I:J,2,FALSE))</f>
        <v/>
      </c>
      <c r="Y391" s="95" t="e">
        <f t="shared" si="13"/>
        <v>#VALUE!</v>
      </c>
      <c r="Z391" s="6"/>
      <c r="AA391" s="6"/>
    </row>
    <row r="392" spans="1:27" ht="28.95" customHeight="1" x14ac:dyDescent="0.3">
      <c r="A392" s="91"/>
      <c r="B392" s="91"/>
      <c r="C392" s="80"/>
      <c r="D392" s="91"/>
      <c r="E392" s="80"/>
      <c r="F392" s="6"/>
      <c r="G392" s="6"/>
      <c r="H392" s="25"/>
      <c r="I392" s="133"/>
      <c r="J392" s="6"/>
      <c r="K392" s="6"/>
      <c r="L392" s="6"/>
      <c r="M392" s="6"/>
      <c r="N392" s="84"/>
      <c r="O392" s="80" t="str">
        <f>IF(N392="","",VLOOKUP(N392,ROLES!B:C,2,FALSE))</f>
        <v/>
      </c>
      <c r="P392" s="15"/>
      <c r="Q392" s="15"/>
      <c r="R392" s="16">
        <f t="shared" si="14"/>
        <v>0</v>
      </c>
      <c r="S392" s="16"/>
      <c r="T392" s="80" t="str">
        <f>IF(S392="","",VLOOKUP(S392,VALORACION!F:G,2,FALSE))</f>
        <v/>
      </c>
      <c r="U392" s="11"/>
      <c r="V392" s="80" t="str">
        <f>IF(U392="","",VLOOKUP(U392,ROLES!G:H,2,FALSE))</f>
        <v/>
      </c>
      <c r="W392" s="11"/>
      <c r="X392" s="80" t="str">
        <f>IF(W392="","",VLOOKUP(W392,ROLES!I:J,2,FALSE))</f>
        <v/>
      </c>
      <c r="Y392" s="95" t="e">
        <f t="shared" si="13"/>
        <v>#VALUE!</v>
      </c>
      <c r="Z392" s="6"/>
      <c r="AA392" s="6"/>
    </row>
    <row r="393" spans="1:27" ht="28.95" customHeight="1" x14ac:dyDescent="0.3">
      <c r="A393" s="91"/>
      <c r="B393" s="91"/>
      <c r="C393" s="80"/>
      <c r="D393" s="91"/>
      <c r="E393" s="80"/>
      <c r="F393" s="6"/>
      <c r="G393" s="6"/>
      <c r="H393" s="25"/>
      <c r="I393" s="133"/>
      <c r="J393" s="6"/>
      <c r="K393" s="6"/>
      <c r="L393" s="6"/>
      <c r="M393" s="6"/>
      <c r="N393" s="84"/>
      <c r="O393" s="80" t="str">
        <f>IF(N393="","",VLOOKUP(N393,ROLES!B:C,2,FALSE))</f>
        <v/>
      </c>
      <c r="P393" s="15"/>
      <c r="Q393" s="15"/>
      <c r="R393" s="16">
        <f t="shared" si="14"/>
        <v>0</v>
      </c>
      <c r="S393" s="16"/>
      <c r="T393" s="80" t="str">
        <f>IF(S393="","",VLOOKUP(S393,VALORACION!F:G,2,FALSE))</f>
        <v/>
      </c>
      <c r="U393" s="11"/>
      <c r="V393" s="80" t="str">
        <f>IF(U393="","",VLOOKUP(U393,ROLES!G:H,2,FALSE))</f>
        <v/>
      </c>
      <c r="W393" s="11"/>
      <c r="X393" s="80" t="str">
        <f>IF(W393="","",VLOOKUP(W393,ROLES!I:J,2,FALSE))</f>
        <v/>
      </c>
      <c r="Y393" s="95" t="e">
        <f t="shared" si="13"/>
        <v>#VALUE!</v>
      </c>
      <c r="Z393" s="6"/>
      <c r="AA393" s="6"/>
    </row>
    <row r="394" spans="1:27" ht="28.95" customHeight="1" x14ac:dyDescent="0.3">
      <c r="A394" s="91"/>
      <c r="B394" s="91"/>
      <c r="C394" s="80"/>
      <c r="D394" s="91"/>
      <c r="E394" s="80"/>
      <c r="F394" s="6"/>
      <c r="G394" s="6"/>
      <c r="H394" s="25"/>
      <c r="I394" s="133"/>
      <c r="J394" s="6"/>
      <c r="K394" s="6"/>
      <c r="L394" s="6"/>
      <c r="M394" s="6"/>
      <c r="N394" s="84"/>
      <c r="O394" s="80" t="str">
        <f>IF(N394="","",VLOOKUP(N394,ROLES!B:C,2,FALSE))</f>
        <v/>
      </c>
      <c r="P394" s="15"/>
      <c r="Q394" s="15"/>
      <c r="R394" s="16">
        <f t="shared" si="14"/>
        <v>0</v>
      </c>
      <c r="S394" s="16"/>
      <c r="T394" s="80" t="str">
        <f>IF(S394="","",VLOOKUP(S394,VALORACION!F:G,2,FALSE))</f>
        <v/>
      </c>
      <c r="U394" s="11"/>
      <c r="V394" s="80" t="str">
        <f>IF(U394="","",VLOOKUP(U394,ROLES!G:H,2,FALSE))</f>
        <v/>
      </c>
      <c r="W394" s="11"/>
      <c r="X394" s="80" t="str">
        <f>IF(W394="","",VLOOKUP(W394,ROLES!I:J,2,FALSE))</f>
        <v/>
      </c>
      <c r="Y394" s="95" t="e">
        <f t="shared" si="13"/>
        <v>#VALUE!</v>
      </c>
      <c r="Z394" s="6"/>
      <c r="AA394" s="6"/>
    </row>
    <row r="395" spans="1:27" ht="28.95" customHeight="1" x14ac:dyDescent="0.3">
      <c r="A395" s="91"/>
      <c r="B395" s="91"/>
      <c r="C395" s="80"/>
      <c r="D395" s="91"/>
      <c r="E395" s="80"/>
      <c r="F395" s="6"/>
      <c r="G395" s="6"/>
      <c r="H395" s="25"/>
      <c r="I395" s="133"/>
      <c r="J395" s="6"/>
      <c r="K395" s="6"/>
      <c r="L395" s="6"/>
      <c r="M395" s="6"/>
      <c r="N395" s="84"/>
      <c r="O395" s="80" t="str">
        <f>IF(N395="","",VLOOKUP(N395,ROLES!B:C,2,FALSE))</f>
        <v/>
      </c>
      <c r="P395" s="15"/>
      <c r="Q395" s="15"/>
      <c r="R395" s="16">
        <f t="shared" si="14"/>
        <v>0</v>
      </c>
      <c r="S395" s="16"/>
      <c r="T395" s="80" t="str">
        <f>IF(S395="","",VLOOKUP(S395,VALORACION!F:G,2,FALSE))</f>
        <v/>
      </c>
      <c r="U395" s="11"/>
      <c r="V395" s="80" t="str">
        <f>IF(U395="","",VLOOKUP(U395,ROLES!G:H,2,FALSE))</f>
        <v/>
      </c>
      <c r="W395" s="11"/>
      <c r="X395" s="80" t="str">
        <f>IF(W395="","",VLOOKUP(W395,ROLES!I:J,2,FALSE))</f>
        <v/>
      </c>
      <c r="Y395" s="95" t="e">
        <f t="shared" si="13"/>
        <v>#VALUE!</v>
      </c>
      <c r="Z395" s="6"/>
      <c r="AA395" s="6"/>
    </row>
    <row r="396" spans="1:27" ht="28.95" customHeight="1" x14ac:dyDescent="0.3">
      <c r="A396" s="91"/>
      <c r="B396" s="91"/>
      <c r="C396" s="80"/>
      <c r="D396" s="91"/>
      <c r="E396" s="80"/>
      <c r="F396" s="6"/>
      <c r="G396" s="6"/>
      <c r="H396" s="25"/>
      <c r="I396" s="133"/>
      <c r="J396" s="6"/>
      <c r="K396" s="6"/>
      <c r="L396" s="6"/>
      <c r="M396" s="6"/>
      <c r="N396" s="84"/>
      <c r="O396" s="80" t="str">
        <f>IF(N396="","",VLOOKUP(N396,ROLES!B:C,2,FALSE))</f>
        <v/>
      </c>
      <c r="P396" s="15"/>
      <c r="Q396" s="15"/>
      <c r="R396" s="16">
        <f t="shared" si="14"/>
        <v>0</v>
      </c>
      <c r="S396" s="16"/>
      <c r="T396" s="80" t="str">
        <f>IF(S396="","",VLOOKUP(S396,VALORACION!F:G,2,FALSE))</f>
        <v/>
      </c>
      <c r="U396" s="11"/>
      <c r="V396" s="80" t="str">
        <f>IF(U396="","",VLOOKUP(U396,ROLES!G:H,2,FALSE))</f>
        <v/>
      </c>
      <c r="W396" s="11"/>
      <c r="X396" s="80" t="str">
        <f>IF(W396="","",VLOOKUP(W396,ROLES!I:J,2,FALSE))</f>
        <v/>
      </c>
      <c r="Y396" s="95" t="e">
        <f t="shared" si="13"/>
        <v>#VALUE!</v>
      </c>
      <c r="Z396" s="6"/>
      <c r="AA396" s="6"/>
    </row>
    <row r="397" spans="1:27" ht="28.95" customHeight="1" x14ac:dyDescent="0.3">
      <c r="A397" s="91"/>
      <c r="B397" s="91"/>
      <c r="C397" s="80"/>
      <c r="D397" s="91"/>
      <c r="E397" s="80"/>
      <c r="F397" s="6"/>
      <c r="G397" s="6"/>
      <c r="H397" s="25"/>
      <c r="I397" s="133"/>
      <c r="J397" s="6"/>
      <c r="K397" s="6"/>
      <c r="L397" s="6"/>
      <c r="M397" s="6"/>
      <c r="N397" s="84"/>
      <c r="O397" s="80" t="str">
        <f>IF(N397="","",VLOOKUP(N397,ROLES!B:C,2,FALSE))</f>
        <v/>
      </c>
      <c r="P397" s="15"/>
      <c r="Q397" s="15"/>
      <c r="R397" s="16">
        <f t="shared" si="14"/>
        <v>0</v>
      </c>
      <c r="S397" s="16"/>
      <c r="T397" s="80" t="str">
        <f>IF(S397="","",VLOOKUP(S397,VALORACION!F:G,2,FALSE))</f>
        <v/>
      </c>
      <c r="U397" s="11"/>
      <c r="V397" s="80" t="str">
        <f>IF(U397="","",VLOOKUP(U397,ROLES!G:H,2,FALSE))</f>
        <v/>
      </c>
      <c r="W397" s="11"/>
      <c r="X397" s="80" t="str">
        <f>IF(W397="","",VLOOKUP(W397,ROLES!I:J,2,FALSE))</f>
        <v/>
      </c>
      <c r="Y397" s="95" t="e">
        <f t="shared" si="13"/>
        <v>#VALUE!</v>
      </c>
      <c r="Z397" s="6"/>
      <c r="AA397" s="6"/>
    </row>
    <row r="398" spans="1:27" ht="28.95" customHeight="1" x14ac:dyDescent="0.3">
      <c r="A398" s="91"/>
      <c r="B398" s="91"/>
      <c r="C398" s="80"/>
      <c r="D398" s="91"/>
      <c r="E398" s="80"/>
      <c r="F398" s="6"/>
      <c r="G398" s="6"/>
      <c r="H398" s="25"/>
      <c r="I398" s="133"/>
      <c r="J398" s="6"/>
      <c r="K398" s="6"/>
      <c r="L398" s="6"/>
      <c r="M398" s="6"/>
      <c r="N398" s="84"/>
      <c r="O398" s="80" t="str">
        <f>IF(N398="","",VLOOKUP(N398,ROLES!B:C,2,FALSE))</f>
        <v/>
      </c>
      <c r="P398" s="15"/>
      <c r="Q398" s="15"/>
      <c r="R398" s="16">
        <f t="shared" si="14"/>
        <v>0</v>
      </c>
      <c r="S398" s="16"/>
      <c r="T398" s="80" t="str">
        <f>IF(S398="","",VLOOKUP(S398,VALORACION!F:G,2,FALSE))</f>
        <v/>
      </c>
      <c r="U398" s="11"/>
      <c r="V398" s="80" t="str">
        <f>IF(U398="","",VLOOKUP(U398,ROLES!G:H,2,FALSE))</f>
        <v/>
      </c>
      <c r="W398" s="11"/>
      <c r="X398" s="80" t="str">
        <f>IF(W398="","",VLOOKUP(W398,ROLES!I:J,2,FALSE))</f>
        <v/>
      </c>
      <c r="Y398" s="95" t="e">
        <f t="shared" si="13"/>
        <v>#VALUE!</v>
      </c>
      <c r="Z398" s="6"/>
      <c r="AA398" s="6"/>
    </row>
    <row r="399" spans="1:27" ht="28.95" customHeight="1" x14ac:dyDescent="0.3">
      <c r="A399" s="91"/>
      <c r="B399" s="91"/>
      <c r="C399" s="80"/>
      <c r="D399" s="91"/>
      <c r="E399" s="80"/>
      <c r="F399" s="6"/>
      <c r="G399" s="6"/>
      <c r="H399" s="25"/>
      <c r="I399" s="133"/>
      <c r="J399" s="6"/>
      <c r="K399" s="6"/>
      <c r="L399" s="6"/>
      <c r="M399" s="6"/>
      <c r="N399" s="84"/>
      <c r="O399" s="80" t="str">
        <f>IF(N399="","",VLOOKUP(N399,ROLES!B:C,2,FALSE))</f>
        <v/>
      </c>
      <c r="P399" s="15"/>
      <c r="Q399" s="15"/>
      <c r="R399" s="16">
        <f t="shared" si="14"/>
        <v>0</v>
      </c>
      <c r="S399" s="16"/>
      <c r="T399" s="80" t="str">
        <f>IF(S399="","",VLOOKUP(S399,VALORACION!F:G,2,FALSE))</f>
        <v/>
      </c>
      <c r="U399" s="11"/>
      <c r="V399" s="80" t="str">
        <f>IF(U399="","",VLOOKUP(U399,ROLES!G:H,2,FALSE))</f>
        <v/>
      </c>
      <c r="W399" s="11"/>
      <c r="X399" s="80" t="str">
        <f>IF(W399="","",VLOOKUP(W399,ROLES!I:J,2,FALSE))</f>
        <v/>
      </c>
      <c r="Y399" s="95" t="e">
        <f t="shared" si="13"/>
        <v>#VALUE!</v>
      </c>
      <c r="Z399" s="6"/>
      <c r="AA399" s="6"/>
    </row>
    <row r="400" spans="1:27" ht="28.95" customHeight="1" x14ac:dyDescent="0.3">
      <c r="A400" s="91"/>
      <c r="B400" s="91"/>
      <c r="C400" s="80"/>
      <c r="D400" s="91"/>
      <c r="E400" s="80"/>
      <c r="F400" s="6"/>
      <c r="G400" s="6"/>
      <c r="H400" s="25"/>
      <c r="I400" s="133"/>
      <c r="J400" s="6"/>
      <c r="K400" s="6"/>
      <c r="L400" s="6"/>
      <c r="M400" s="6"/>
      <c r="N400" s="84"/>
      <c r="O400" s="80" t="str">
        <f>IF(N400="","",VLOOKUP(N400,ROLES!B:C,2,FALSE))</f>
        <v/>
      </c>
      <c r="P400" s="15"/>
      <c r="Q400" s="15"/>
      <c r="R400" s="16">
        <f t="shared" si="14"/>
        <v>0</v>
      </c>
      <c r="S400" s="16"/>
      <c r="T400" s="80" t="str">
        <f>IF(S400="","",VLOOKUP(S400,VALORACION!F:G,2,FALSE))</f>
        <v/>
      </c>
      <c r="U400" s="11"/>
      <c r="V400" s="80" t="str">
        <f>IF(U400="","",VLOOKUP(U400,ROLES!G:H,2,FALSE))</f>
        <v/>
      </c>
      <c r="W400" s="11"/>
      <c r="X400" s="80" t="str">
        <f>IF(W400="","",VLOOKUP(W400,ROLES!I:J,2,FALSE))</f>
        <v/>
      </c>
      <c r="Y400" s="95" t="e">
        <f t="shared" si="13"/>
        <v>#VALUE!</v>
      </c>
      <c r="Z400" s="6"/>
      <c r="AA400" s="6"/>
    </row>
    <row r="401" spans="1:27" ht="28.95" customHeight="1" x14ac:dyDescent="0.3">
      <c r="A401" s="91"/>
      <c r="B401" s="91"/>
      <c r="C401" s="80"/>
      <c r="D401" s="91"/>
      <c r="E401" s="80"/>
      <c r="F401" s="6"/>
      <c r="G401" s="6"/>
      <c r="H401" s="25"/>
      <c r="I401" s="133"/>
      <c r="J401" s="6"/>
      <c r="K401" s="6"/>
      <c r="L401" s="6"/>
      <c r="M401" s="6"/>
      <c r="N401" s="84"/>
      <c r="O401" s="80" t="str">
        <f>IF(N401="","",VLOOKUP(N401,ROLES!B:C,2,FALSE))</f>
        <v/>
      </c>
      <c r="P401" s="15"/>
      <c r="Q401" s="15"/>
      <c r="R401" s="16">
        <f t="shared" si="14"/>
        <v>0</v>
      </c>
      <c r="S401" s="16"/>
      <c r="T401" s="80" t="str">
        <f>IF(S401="","",VLOOKUP(S401,VALORACION!F:G,2,FALSE))</f>
        <v/>
      </c>
      <c r="U401" s="11"/>
      <c r="V401" s="80" t="str">
        <f>IF(U401="","",VLOOKUP(U401,ROLES!G:H,2,FALSE))</f>
        <v/>
      </c>
      <c r="W401" s="11"/>
      <c r="X401" s="80" t="str">
        <f>IF(W401="","",VLOOKUP(W401,ROLES!I:J,2,FALSE))</f>
        <v/>
      </c>
      <c r="Y401" s="95" t="e">
        <f t="shared" si="13"/>
        <v>#VALUE!</v>
      </c>
      <c r="Z401" s="6"/>
      <c r="AA401" s="6"/>
    </row>
    <row r="402" spans="1:27" ht="28.95" customHeight="1" x14ac:dyDescent="0.3">
      <c r="A402" s="91"/>
      <c r="B402" s="91"/>
      <c r="C402" s="80"/>
      <c r="D402" s="91"/>
      <c r="E402" s="80"/>
      <c r="F402" s="6"/>
      <c r="G402" s="6"/>
      <c r="H402" s="25"/>
      <c r="I402" s="133"/>
      <c r="J402" s="6"/>
      <c r="K402" s="6"/>
      <c r="L402" s="6"/>
      <c r="M402" s="6"/>
      <c r="N402" s="84"/>
      <c r="O402" s="80" t="str">
        <f>IF(N402="","",VLOOKUP(N402,ROLES!B:C,2,FALSE))</f>
        <v/>
      </c>
      <c r="P402" s="15"/>
      <c r="Q402" s="15"/>
      <c r="R402" s="16">
        <f t="shared" si="14"/>
        <v>0</v>
      </c>
      <c r="S402" s="16"/>
      <c r="T402" s="80" t="str">
        <f>IF(S402="","",VLOOKUP(S402,VALORACION!F:G,2,FALSE))</f>
        <v/>
      </c>
      <c r="U402" s="11"/>
      <c r="V402" s="80" t="str">
        <f>IF(U402="","",VLOOKUP(U402,ROLES!G:H,2,FALSE))</f>
        <v/>
      </c>
      <c r="W402" s="11"/>
      <c r="X402" s="80" t="str">
        <f>IF(W402="","",VLOOKUP(W402,ROLES!I:J,2,FALSE))</f>
        <v/>
      </c>
      <c r="Y402" s="95" t="e">
        <f t="shared" si="13"/>
        <v>#VALUE!</v>
      </c>
      <c r="Z402" s="6"/>
      <c r="AA402" s="6"/>
    </row>
    <row r="403" spans="1:27" ht="28.95" customHeight="1" x14ac:dyDescent="0.3">
      <c r="A403" s="91"/>
      <c r="B403" s="91"/>
      <c r="C403" s="80"/>
      <c r="D403" s="91"/>
      <c r="E403" s="80"/>
      <c r="F403" s="6"/>
      <c r="G403" s="6"/>
      <c r="H403" s="25"/>
      <c r="I403" s="133"/>
      <c r="J403" s="6"/>
      <c r="K403" s="6"/>
      <c r="L403" s="6"/>
      <c r="M403" s="6"/>
      <c r="N403" s="84"/>
      <c r="O403" s="80" t="str">
        <f>IF(N403="","",VLOOKUP(N403,ROLES!B:C,2,FALSE))</f>
        <v/>
      </c>
      <c r="P403" s="15"/>
      <c r="Q403" s="15"/>
      <c r="R403" s="16">
        <f t="shared" si="14"/>
        <v>0</v>
      </c>
      <c r="S403" s="16"/>
      <c r="T403" s="80" t="str">
        <f>IF(S403="","",VLOOKUP(S403,VALORACION!F:G,2,FALSE))</f>
        <v/>
      </c>
      <c r="U403" s="11"/>
      <c r="V403" s="80" t="str">
        <f>IF(U403="","",VLOOKUP(U403,ROLES!G:H,2,FALSE))</f>
        <v/>
      </c>
      <c r="W403" s="11"/>
      <c r="X403" s="80" t="str">
        <f>IF(W403="","",VLOOKUP(W403,ROLES!I:J,2,FALSE))</f>
        <v/>
      </c>
      <c r="Y403" s="95" t="e">
        <f t="shared" si="13"/>
        <v>#VALUE!</v>
      </c>
      <c r="Z403" s="6"/>
      <c r="AA403" s="6"/>
    </row>
    <row r="404" spans="1:27" ht="28.95" customHeight="1" x14ac:dyDescent="0.3">
      <c r="A404" s="91"/>
      <c r="B404" s="91"/>
      <c r="C404" s="80"/>
      <c r="D404" s="91"/>
      <c r="E404" s="80"/>
      <c r="F404" s="6"/>
      <c r="G404" s="6"/>
      <c r="H404" s="25"/>
      <c r="I404" s="133"/>
      <c r="J404" s="6"/>
      <c r="K404" s="6"/>
      <c r="L404" s="6"/>
      <c r="M404" s="6"/>
      <c r="N404" s="84"/>
      <c r="O404" s="80" t="str">
        <f>IF(N404="","",VLOOKUP(N404,ROLES!B:C,2,FALSE))</f>
        <v/>
      </c>
      <c r="P404" s="15"/>
      <c r="Q404" s="15"/>
      <c r="R404" s="16">
        <f t="shared" si="14"/>
        <v>0</v>
      </c>
      <c r="S404" s="16"/>
      <c r="T404" s="80" t="str">
        <f>IF(S404="","",VLOOKUP(S404,VALORACION!F:G,2,FALSE))</f>
        <v/>
      </c>
      <c r="U404" s="11"/>
      <c r="V404" s="80" t="str">
        <f>IF(U404="","",VLOOKUP(U404,ROLES!G:H,2,FALSE))</f>
        <v/>
      </c>
      <c r="W404" s="11"/>
      <c r="X404" s="80" t="str">
        <f>IF(W404="","",VLOOKUP(W404,ROLES!I:J,2,FALSE))</f>
        <v/>
      </c>
      <c r="Y404" s="95" t="e">
        <f t="shared" si="13"/>
        <v>#VALUE!</v>
      </c>
      <c r="Z404" s="6"/>
      <c r="AA404" s="6"/>
    </row>
    <row r="405" spans="1:27" ht="28.95" customHeight="1" x14ac:dyDescent="0.3">
      <c r="A405" s="91"/>
      <c r="B405" s="91"/>
      <c r="C405" s="80"/>
      <c r="D405" s="91"/>
      <c r="E405" s="80"/>
      <c r="F405" s="6"/>
      <c r="G405" s="6"/>
      <c r="H405" s="25"/>
      <c r="I405" s="133"/>
      <c r="J405" s="6"/>
      <c r="K405" s="6"/>
      <c r="L405" s="6"/>
      <c r="M405" s="6"/>
      <c r="N405" s="84"/>
      <c r="O405" s="80" t="str">
        <f>IF(N405="","",VLOOKUP(N405,ROLES!B:C,2,FALSE))</f>
        <v/>
      </c>
      <c r="P405" s="15"/>
      <c r="Q405" s="15"/>
      <c r="R405" s="16">
        <f t="shared" si="14"/>
        <v>0</v>
      </c>
      <c r="S405" s="16"/>
      <c r="T405" s="80" t="str">
        <f>IF(S405="","",VLOOKUP(S405,VALORACION!F:G,2,FALSE))</f>
        <v/>
      </c>
      <c r="U405" s="11"/>
      <c r="V405" s="80" t="str">
        <f>IF(U405="","",VLOOKUP(U405,ROLES!G:H,2,FALSE))</f>
        <v/>
      </c>
      <c r="W405" s="11"/>
      <c r="X405" s="80" t="str">
        <f>IF(W405="","",VLOOKUP(W405,ROLES!I:J,2,FALSE))</f>
        <v/>
      </c>
      <c r="Y405" s="95" t="e">
        <f t="shared" si="13"/>
        <v>#VALUE!</v>
      </c>
      <c r="Z405" s="6"/>
      <c r="AA405" s="6"/>
    </row>
    <row r="406" spans="1:27" ht="28.95" customHeight="1" x14ac:dyDescent="0.3">
      <c r="A406" s="91"/>
      <c r="B406" s="91"/>
      <c r="C406" s="80"/>
      <c r="D406" s="91"/>
      <c r="E406" s="80"/>
      <c r="F406" s="6"/>
      <c r="G406" s="6"/>
      <c r="H406" s="25"/>
      <c r="I406" s="133"/>
      <c r="J406" s="6"/>
      <c r="K406" s="6"/>
      <c r="L406" s="6"/>
      <c r="M406" s="6"/>
      <c r="N406" s="84"/>
      <c r="O406" s="80" t="str">
        <f>IF(N406="","",VLOOKUP(N406,ROLES!B:C,2,FALSE))</f>
        <v/>
      </c>
      <c r="P406" s="15"/>
      <c r="Q406" s="15"/>
      <c r="R406" s="16">
        <f t="shared" si="14"/>
        <v>0</v>
      </c>
      <c r="S406" s="16"/>
      <c r="T406" s="80" t="str">
        <f>IF(S406="","",VLOOKUP(S406,VALORACION!F:G,2,FALSE))</f>
        <v/>
      </c>
      <c r="U406" s="11"/>
      <c r="V406" s="80" t="str">
        <f>IF(U406="","",VLOOKUP(U406,ROLES!G:H,2,FALSE))</f>
        <v/>
      </c>
      <c r="W406" s="11"/>
      <c r="X406" s="80" t="str">
        <f>IF(W406="","",VLOOKUP(W406,ROLES!I:J,2,FALSE))</f>
        <v/>
      </c>
      <c r="Y406" s="95" t="e">
        <f t="shared" si="13"/>
        <v>#VALUE!</v>
      </c>
      <c r="Z406" s="6"/>
      <c r="AA406" s="6"/>
    </row>
    <row r="407" spans="1:27" ht="28.95" customHeight="1" x14ac:dyDescent="0.3">
      <c r="A407" s="91"/>
      <c r="B407" s="91"/>
      <c r="C407" s="80"/>
      <c r="D407" s="91"/>
      <c r="E407" s="80"/>
      <c r="F407" s="6"/>
      <c r="G407" s="6"/>
      <c r="H407" s="25"/>
      <c r="I407" s="133"/>
      <c r="J407" s="6"/>
      <c r="K407" s="6"/>
      <c r="L407" s="6"/>
      <c r="M407" s="6"/>
      <c r="N407" s="84"/>
      <c r="O407" s="80" t="str">
        <f>IF(N407="","",VLOOKUP(N407,ROLES!B:C,2,FALSE))</f>
        <v/>
      </c>
      <c r="P407" s="15"/>
      <c r="Q407" s="15"/>
      <c r="R407" s="16">
        <f t="shared" si="14"/>
        <v>0</v>
      </c>
      <c r="S407" s="16"/>
      <c r="T407" s="80" t="str">
        <f>IF(S407="","",VLOOKUP(S407,VALORACION!F:G,2,FALSE))</f>
        <v/>
      </c>
      <c r="U407" s="11"/>
      <c r="V407" s="80" t="str">
        <f>IF(U407="","",VLOOKUP(U407,ROLES!G:H,2,FALSE))</f>
        <v/>
      </c>
      <c r="W407" s="11"/>
      <c r="X407" s="80" t="str">
        <f>IF(W407="","",VLOOKUP(W407,ROLES!I:J,2,FALSE))</f>
        <v/>
      </c>
      <c r="Y407" s="95" t="e">
        <f t="shared" si="13"/>
        <v>#VALUE!</v>
      </c>
      <c r="Z407" s="6"/>
      <c r="AA407" s="6"/>
    </row>
    <row r="408" spans="1:27" ht="28.95" customHeight="1" x14ac:dyDescent="0.3">
      <c r="A408" s="91"/>
      <c r="B408" s="91"/>
      <c r="C408" s="80"/>
      <c r="D408" s="91"/>
      <c r="E408" s="80"/>
      <c r="F408" s="6"/>
      <c r="G408" s="6"/>
      <c r="H408" s="25"/>
      <c r="I408" s="133"/>
      <c r="J408" s="6"/>
      <c r="K408" s="6"/>
      <c r="L408" s="6"/>
      <c r="M408" s="6"/>
      <c r="N408" s="84"/>
      <c r="O408" s="80" t="str">
        <f>IF(N408="","",VLOOKUP(N408,ROLES!B:C,2,FALSE))</f>
        <v/>
      </c>
      <c r="P408" s="15"/>
      <c r="Q408" s="15"/>
      <c r="R408" s="16">
        <f t="shared" si="14"/>
        <v>0</v>
      </c>
      <c r="S408" s="16"/>
      <c r="T408" s="80" t="str">
        <f>IF(S408="","",VLOOKUP(S408,VALORACION!F:G,2,FALSE))</f>
        <v/>
      </c>
      <c r="U408" s="11"/>
      <c r="V408" s="80" t="str">
        <f>IF(U408="","",VLOOKUP(U408,ROLES!G:H,2,FALSE))</f>
        <v/>
      </c>
      <c r="W408" s="11"/>
      <c r="X408" s="80" t="str">
        <f>IF(W408="","",VLOOKUP(W408,ROLES!I:J,2,FALSE))</f>
        <v/>
      </c>
      <c r="Y408" s="95" t="e">
        <f t="shared" si="13"/>
        <v>#VALUE!</v>
      </c>
      <c r="Z408" s="6"/>
      <c r="AA408" s="6"/>
    </row>
    <row r="409" spans="1:27" ht="28.95" customHeight="1" x14ac:dyDescent="0.3">
      <c r="A409" s="91"/>
      <c r="B409" s="91"/>
      <c r="C409" s="80"/>
      <c r="D409" s="91"/>
      <c r="E409" s="80"/>
      <c r="F409" s="6"/>
      <c r="G409" s="6"/>
      <c r="H409" s="25"/>
      <c r="I409" s="133"/>
      <c r="J409" s="6"/>
      <c r="K409" s="6"/>
      <c r="L409" s="6"/>
      <c r="M409" s="6"/>
      <c r="N409" s="84"/>
      <c r="O409" s="80" t="str">
        <f>IF(N409="","",VLOOKUP(N409,ROLES!B:C,2,FALSE))</f>
        <v/>
      </c>
      <c r="P409" s="15"/>
      <c r="Q409" s="15"/>
      <c r="R409" s="16">
        <f t="shared" si="14"/>
        <v>0</v>
      </c>
      <c r="S409" s="16"/>
      <c r="T409" s="80" t="str">
        <f>IF(S409="","",VLOOKUP(S409,VALORACION!F:G,2,FALSE))</f>
        <v/>
      </c>
      <c r="U409" s="11"/>
      <c r="V409" s="80" t="str">
        <f>IF(U409="","",VLOOKUP(U409,ROLES!G:H,2,FALSE))</f>
        <v/>
      </c>
      <c r="W409" s="11"/>
      <c r="X409" s="80" t="str">
        <f>IF(W409="","",VLOOKUP(W409,ROLES!I:J,2,FALSE))</f>
        <v/>
      </c>
      <c r="Y409" s="95" t="e">
        <f t="shared" si="13"/>
        <v>#VALUE!</v>
      </c>
      <c r="Z409" s="6"/>
      <c r="AA409" s="6"/>
    </row>
    <row r="410" spans="1:27" ht="28.95" customHeight="1" x14ac:dyDescent="0.3">
      <c r="A410" s="91"/>
      <c r="B410" s="91"/>
      <c r="C410" s="80"/>
      <c r="D410" s="91"/>
      <c r="E410" s="80"/>
      <c r="F410" s="6"/>
      <c r="G410" s="6"/>
      <c r="H410" s="25"/>
      <c r="I410" s="133"/>
      <c r="J410" s="6"/>
      <c r="K410" s="6"/>
      <c r="L410" s="6"/>
      <c r="M410" s="6"/>
      <c r="N410" s="84"/>
      <c r="O410" s="80" t="str">
        <f>IF(N410="","",VLOOKUP(N410,ROLES!B:C,2,FALSE))</f>
        <v/>
      </c>
      <c r="P410" s="15"/>
      <c r="Q410" s="15"/>
      <c r="R410" s="16">
        <f t="shared" si="14"/>
        <v>0</v>
      </c>
      <c r="S410" s="16"/>
      <c r="T410" s="80" t="str">
        <f>IF(S410="","",VLOOKUP(S410,VALORACION!F:G,2,FALSE))</f>
        <v/>
      </c>
      <c r="U410" s="11"/>
      <c r="V410" s="80" t="str">
        <f>IF(U410="","",VLOOKUP(U410,ROLES!G:H,2,FALSE))</f>
        <v/>
      </c>
      <c r="W410" s="11"/>
      <c r="X410" s="80" t="str">
        <f>IF(W410="","",VLOOKUP(W410,ROLES!I:J,2,FALSE))</f>
        <v/>
      </c>
      <c r="Y410" s="95" t="e">
        <f t="shared" si="13"/>
        <v>#VALUE!</v>
      </c>
      <c r="Z410" s="6"/>
      <c r="AA410" s="6"/>
    </row>
    <row r="411" spans="1:27" ht="28.95" customHeight="1" x14ac:dyDescent="0.3">
      <c r="A411" s="91"/>
      <c r="B411" s="91"/>
      <c r="C411" s="80"/>
      <c r="D411" s="91"/>
      <c r="E411" s="80"/>
      <c r="F411" s="6"/>
      <c r="G411" s="6"/>
      <c r="H411" s="25"/>
      <c r="I411" s="133"/>
      <c r="J411" s="6"/>
      <c r="K411" s="6"/>
      <c r="L411" s="6"/>
      <c r="M411" s="6"/>
      <c r="N411" s="84"/>
      <c r="O411" s="80" t="str">
        <f>IF(N411="","",VLOOKUP(N411,ROLES!B:C,2,FALSE))</f>
        <v/>
      </c>
      <c r="P411" s="15"/>
      <c r="Q411" s="15"/>
      <c r="R411" s="16">
        <f t="shared" si="14"/>
        <v>0</v>
      </c>
      <c r="S411" s="16"/>
      <c r="T411" s="80" t="str">
        <f>IF(S411="","",VLOOKUP(S411,VALORACION!F:G,2,FALSE))</f>
        <v/>
      </c>
      <c r="U411" s="11"/>
      <c r="V411" s="80" t="str">
        <f>IF(U411="","",VLOOKUP(U411,ROLES!G:H,2,FALSE))</f>
        <v/>
      </c>
      <c r="W411" s="11"/>
      <c r="X411" s="80" t="str">
        <f>IF(W411="","",VLOOKUP(W411,ROLES!I:J,2,FALSE))</f>
        <v/>
      </c>
      <c r="Y411" s="95" t="e">
        <f t="shared" si="13"/>
        <v>#VALUE!</v>
      </c>
      <c r="Z411" s="6"/>
      <c r="AA411" s="6"/>
    </row>
    <row r="412" spans="1:27" ht="28.95" customHeight="1" x14ac:dyDescent="0.3">
      <c r="A412" s="91"/>
      <c r="B412" s="91"/>
      <c r="C412" s="80"/>
      <c r="D412" s="91"/>
      <c r="E412" s="80"/>
      <c r="F412" s="6"/>
      <c r="G412" s="6"/>
      <c r="H412" s="25"/>
      <c r="I412" s="133"/>
      <c r="J412" s="6"/>
      <c r="K412" s="6"/>
      <c r="L412" s="6"/>
      <c r="M412" s="6"/>
      <c r="N412" s="84"/>
      <c r="O412" s="80" t="str">
        <f>IF(N412="","",VLOOKUP(N412,ROLES!B:C,2,FALSE))</f>
        <v/>
      </c>
      <c r="P412" s="15"/>
      <c r="Q412" s="15"/>
      <c r="R412" s="16">
        <f t="shared" si="14"/>
        <v>0</v>
      </c>
      <c r="S412" s="16"/>
      <c r="T412" s="80" t="str">
        <f>IF(S412="","",VLOOKUP(S412,VALORACION!F:G,2,FALSE))</f>
        <v/>
      </c>
      <c r="U412" s="11"/>
      <c r="V412" s="80" t="str">
        <f>IF(U412="","",VLOOKUP(U412,ROLES!G:H,2,FALSE))</f>
        <v/>
      </c>
      <c r="W412" s="11"/>
      <c r="X412" s="80" t="str">
        <f>IF(W412="","",VLOOKUP(W412,ROLES!I:J,2,FALSE))</f>
        <v/>
      </c>
      <c r="Y412" s="95" t="e">
        <f t="shared" si="13"/>
        <v>#VALUE!</v>
      </c>
      <c r="Z412" s="6"/>
      <c r="AA412" s="6"/>
    </row>
    <row r="413" spans="1:27" ht="28.95" customHeight="1" x14ac:dyDescent="0.3">
      <c r="A413" s="91"/>
      <c r="B413" s="91"/>
      <c r="C413" s="80"/>
      <c r="D413" s="91"/>
      <c r="E413" s="80"/>
      <c r="F413" s="6"/>
      <c r="G413" s="6"/>
      <c r="H413" s="25"/>
      <c r="I413" s="133"/>
      <c r="J413" s="6"/>
      <c r="K413" s="6"/>
      <c r="L413" s="6"/>
      <c r="M413" s="6"/>
      <c r="N413" s="84"/>
      <c r="O413" s="80" t="str">
        <f>IF(N413="","",VLOOKUP(N413,ROLES!B:C,2,FALSE))</f>
        <v/>
      </c>
      <c r="P413" s="15"/>
      <c r="Q413" s="15"/>
      <c r="R413" s="16">
        <f t="shared" si="14"/>
        <v>0</v>
      </c>
      <c r="S413" s="16"/>
      <c r="T413" s="80" t="str">
        <f>IF(S413="","",VLOOKUP(S413,VALORACION!F:G,2,FALSE))</f>
        <v/>
      </c>
      <c r="U413" s="11"/>
      <c r="V413" s="80" t="str">
        <f>IF(U413="","",VLOOKUP(U413,ROLES!G:H,2,FALSE))</f>
        <v/>
      </c>
      <c r="W413" s="11"/>
      <c r="X413" s="80" t="str">
        <f>IF(W413="","",VLOOKUP(W413,ROLES!I:J,2,FALSE))</f>
        <v/>
      </c>
      <c r="Y413" s="95" t="e">
        <f t="shared" si="13"/>
        <v>#VALUE!</v>
      </c>
      <c r="Z413" s="6"/>
      <c r="AA413" s="6"/>
    </row>
    <row r="414" spans="1:27" ht="28.95" customHeight="1" x14ac:dyDescent="0.3">
      <c r="A414" s="91"/>
      <c r="B414" s="91"/>
      <c r="C414" s="80"/>
      <c r="D414" s="91"/>
      <c r="E414" s="80"/>
      <c r="F414" s="6"/>
      <c r="G414" s="6"/>
      <c r="H414" s="25"/>
      <c r="I414" s="133"/>
      <c r="J414" s="6"/>
      <c r="K414" s="6"/>
      <c r="L414" s="6"/>
      <c r="M414" s="6"/>
      <c r="N414" s="84"/>
      <c r="O414" s="80" t="str">
        <f>IF(N414="","",VLOOKUP(N414,ROLES!B:C,2,FALSE))</f>
        <v/>
      </c>
      <c r="P414" s="15"/>
      <c r="Q414" s="15"/>
      <c r="R414" s="16">
        <f t="shared" si="14"/>
        <v>0</v>
      </c>
      <c r="S414" s="16"/>
      <c r="T414" s="80" t="str">
        <f>IF(S414="","",VLOOKUP(S414,VALORACION!F:G,2,FALSE))</f>
        <v/>
      </c>
      <c r="U414" s="11"/>
      <c r="V414" s="80" t="str">
        <f>IF(U414="","",VLOOKUP(U414,ROLES!G:H,2,FALSE))</f>
        <v/>
      </c>
      <c r="W414" s="11"/>
      <c r="X414" s="80" t="str">
        <f>IF(W414="","",VLOOKUP(W414,ROLES!I:J,2,FALSE))</f>
        <v/>
      </c>
      <c r="Y414" s="95" t="e">
        <f t="shared" si="13"/>
        <v>#VALUE!</v>
      </c>
      <c r="Z414" s="6"/>
      <c r="AA414" s="6"/>
    </row>
    <row r="415" spans="1:27" ht="28.95" customHeight="1" x14ac:dyDescent="0.3">
      <c r="A415" s="91"/>
      <c r="B415" s="91"/>
      <c r="C415" s="80"/>
      <c r="D415" s="91"/>
      <c r="E415" s="80"/>
      <c r="F415" s="6"/>
      <c r="G415" s="6"/>
      <c r="H415" s="25"/>
      <c r="I415" s="133"/>
      <c r="J415" s="6"/>
      <c r="K415" s="6"/>
      <c r="L415" s="6"/>
      <c r="M415" s="6"/>
      <c r="N415" s="84"/>
      <c r="O415" s="80" t="str">
        <f>IF(N415="","",VLOOKUP(N415,ROLES!B:C,2,FALSE))</f>
        <v/>
      </c>
      <c r="P415" s="15"/>
      <c r="Q415" s="15"/>
      <c r="R415" s="16">
        <f t="shared" si="14"/>
        <v>0</v>
      </c>
      <c r="S415" s="16"/>
      <c r="T415" s="80" t="str">
        <f>IF(S415="","",VLOOKUP(S415,VALORACION!F:G,2,FALSE))</f>
        <v/>
      </c>
      <c r="U415" s="11"/>
      <c r="V415" s="80" t="str">
        <f>IF(U415="","",VLOOKUP(U415,ROLES!G:H,2,FALSE))</f>
        <v/>
      </c>
      <c r="W415" s="11"/>
      <c r="X415" s="80" t="str">
        <f>IF(W415="","",VLOOKUP(W415,ROLES!I:J,2,FALSE))</f>
        <v/>
      </c>
      <c r="Y415" s="95" t="e">
        <f t="shared" si="13"/>
        <v>#VALUE!</v>
      </c>
      <c r="Z415" s="6"/>
      <c r="AA415" s="6"/>
    </row>
    <row r="416" spans="1:27" ht="28.95" customHeight="1" x14ac:dyDescent="0.3">
      <c r="A416" s="91"/>
      <c r="B416" s="91"/>
      <c r="C416" s="80"/>
      <c r="D416" s="91"/>
      <c r="E416" s="80"/>
      <c r="F416" s="6"/>
      <c r="G416" s="6"/>
      <c r="H416" s="25"/>
      <c r="I416" s="133"/>
      <c r="J416" s="6"/>
      <c r="K416" s="6"/>
      <c r="L416" s="6"/>
      <c r="M416" s="6"/>
      <c r="N416" s="84"/>
      <c r="O416" s="80" t="str">
        <f>IF(N416="","",VLOOKUP(N416,ROLES!B:C,2,FALSE))</f>
        <v/>
      </c>
      <c r="P416" s="15"/>
      <c r="Q416" s="15"/>
      <c r="R416" s="16">
        <f t="shared" si="14"/>
        <v>0</v>
      </c>
      <c r="S416" s="16"/>
      <c r="T416" s="80" t="str">
        <f>IF(S416="","",VLOOKUP(S416,VALORACION!F:G,2,FALSE))</f>
        <v/>
      </c>
      <c r="U416" s="11"/>
      <c r="V416" s="80" t="str">
        <f>IF(U416="","",VLOOKUP(U416,ROLES!G:H,2,FALSE))</f>
        <v/>
      </c>
      <c r="W416" s="11"/>
      <c r="X416" s="80" t="str">
        <f>IF(W416="","",VLOOKUP(W416,ROLES!I:J,2,FALSE))</f>
        <v/>
      </c>
      <c r="Y416" s="95" t="e">
        <f t="shared" si="13"/>
        <v>#VALUE!</v>
      </c>
      <c r="Z416" s="6"/>
      <c r="AA416" s="6"/>
    </row>
    <row r="417" spans="1:27" ht="28.95" customHeight="1" x14ac:dyDescent="0.3">
      <c r="A417" s="91"/>
      <c r="B417" s="91"/>
      <c r="C417" s="80"/>
      <c r="D417" s="91"/>
      <c r="E417" s="80"/>
      <c r="F417" s="6"/>
      <c r="G417" s="6"/>
      <c r="H417" s="25"/>
      <c r="I417" s="133"/>
      <c r="J417" s="6"/>
      <c r="K417" s="6"/>
      <c r="L417" s="6"/>
      <c r="M417" s="6"/>
      <c r="N417" s="84"/>
      <c r="O417" s="80" t="str">
        <f>IF(N417="","",VLOOKUP(N417,ROLES!B:C,2,FALSE))</f>
        <v/>
      </c>
      <c r="P417" s="15"/>
      <c r="Q417" s="15"/>
      <c r="R417" s="16">
        <f t="shared" si="14"/>
        <v>0</v>
      </c>
      <c r="S417" s="16"/>
      <c r="T417" s="80" t="str">
        <f>IF(S417="","",VLOOKUP(S417,VALORACION!F:G,2,FALSE))</f>
        <v/>
      </c>
      <c r="U417" s="11"/>
      <c r="V417" s="80" t="str">
        <f>IF(U417="","",VLOOKUP(U417,ROLES!G:H,2,FALSE))</f>
        <v/>
      </c>
      <c r="W417" s="11"/>
      <c r="X417" s="80" t="str">
        <f>IF(W417="","",VLOOKUP(W417,ROLES!I:J,2,FALSE))</f>
        <v/>
      </c>
      <c r="Y417" s="95" t="e">
        <f t="shared" si="13"/>
        <v>#VALUE!</v>
      </c>
      <c r="Z417" s="6"/>
      <c r="AA417" s="6"/>
    </row>
    <row r="418" spans="1:27" ht="28.95" customHeight="1" x14ac:dyDescent="0.3">
      <c r="A418" s="91"/>
      <c r="B418" s="91"/>
      <c r="C418" s="80"/>
      <c r="D418" s="91"/>
      <c r="E418" s="80"/>
      <c r="F418" s="6"/>
      <c r="G418" s="6"/>
      <c r="H418" s="25"/>
      <c r="I418" s="133"/>
      <c r="J418" s="6"/>
      <c r="K418" s="6"/>
      <c r="L418" s="6"/>
      <c r="M418" s="6"/>
      <c r="N418" s="84"/>
      <c r="O418" s="80" t="str">
        <f>IF(N418="","",VLOOKUP(N418,ROLES!B:C,2,FALSE))</f>
        <v/>
      </c>
      <c r="P418" s="15"/>
      <c r="Q418" s="15"/>
      <c r="R418" s="16">
        <f t="shared" si="14"/>
        <v>0</v>
      </c>
      <c r="S418" s="16"/>
      <c r="T418" s="80" t="str">
        <f>IF(S418="","",VLOOKUP(S418,VALORACION!F:G,2,FALSE))</f>
        <v/>
      </c>
      <c r="U418" s="11"/>
      <c r="V418" s="80" t="str">
        <f>IF(U418="","",VLOOKUP(U418,ROLES!G:H,2,FALSE))</f>
        <v/>
      </c>
      <c r="W418" s="11"/>
      <c r="X418" s="80" t="str">
        <f>IF(W418="","",VLOOKUP(W418,ROLES!I:J,2,FALSE))</f>
        <v/>
      </c>
      <c r="Y418" s="95" t="e">
        <f t="shared" si="13"/>
        <v>#VALUE!</v>
      </c>
      <c r="Z418" s="6"/>
      <c r="AA418" s="6"/>
    </row>
    <row r="419" spans="1:27" ht="28.95" customHeight="1" x14ac:dyDescent="0.3">
      <c r="A419" s="91"/>
      <c r="B419" s="91"/>
      <c r="C419" s="80"/>
      <c r="D419" s="91"/>
      <c r="E419" s="80"/>
      <c r="F419" s="6"/>
      <c r="G419" s="6"/>
      <c r="H419" s="25"/>
      <c r="I419" s="133"/>
      <c r="J419" s="6"/>
      <c r="K419" s="6"/>
      <c r="L419" s="6"/>
      <c r="M419" s="6"/>
      <c r="N419" s="84"/>
      <c r="O419" s="80" t="str">
        <f>IF(N419="","",VLOOKUP(N419,ROLES!B:C,2,FALSE))</f>
        <v/>
      </c>
      <c r="P419" s="15"/>
      <c r="Q419" s="15"/>
      <c r="R419" s="16">
        <f t="shared" si="14"/>
        <v>0</v>
      </c>
      <c r="S419" s="16"/>
      <c r="T419" s="80" t="str">
        <f>IF(S419="","",VLOOKUP(S419,VALORACION!F:G,2,FALSE))</f>
        <v/>
      </c>
      <c r="U419" s="11"/>
      <c r="V419" s="80" t="str">
        <f>IF(U419="","",VLOOKUP(U419,ROLES!G:H,2,FALSE))</f>
        <v/>
      </c>
      <c r="W419" s="11"/>
      <c r="X419" s="80" t="str">
        <f>IF(W419="","",VLOOKUP(W419,ROLES!I:J,2,FALSE))</f>
        <v/>
      </c>
      <c r="Y419" s="95" t="e">
        <f t="shared" si="13"/>
        <v>#VALUE!</v>
      </c>
      <c r="Z419" s="6"/>
      <c r="AA419" s="6"/>
    </row>
    <row r="420" spans="1:27" ht="28.95" customHeight="1" x14ac:dyDescent="0.3">
      <c r="A420" s="91"/>
      <c r="B420" s="91"/>
      <c r="C420" s="80"/>
      <c r="D420" s="91"/>
      <c r="E420" s="80"/>
      <c r="F420" s="6"/>
      <c r="G420" s="6"/>
      <c r="H420" s="25"/>
      <c r="I420" s="133"/>
      <c r="J420" s="6"/>
      <c r="K420" s="6"/>
      <c r="L420" s="6"/>
      <c r="M420" s="6"/>
      <c r="N420" s="84"/>
      <c r="O420" s="80" t="str">
        <f>IF(N420="","",VLOOKUP(N420,ROLES!B:C,2,FALSE))</f>
        <v/>
      </c>
      <c r="P420" s="15"/>
      <c r="Q420" s="15"/>
      <c r="R420" s="16">
        <f t="shared" si="14"/>
        <v>0</v>
      </c>
      <c r="S420" s="16"/>
      <c r="T420" s="80" t="str">
        <f>IF(S420="","",VLOOKUP(S420,VALORACION!F:G,2,FALSE))</f>
        <v/>
      </c>
      <c r="U420" s="11"/>
      <c r="V420" s="80" t="str">
        <f>IF(U420="","",VLOOKUP(U420,ROLES!G:H,2,FALSE))</f>
        <v/>
      </c>
      <c r="W420" s="11"/>
      <c r="X420" s="80" t="str">
        <f>IF(W420="","",VLOOKUP(W420,ROLES!I:J,2,FALSE))</f>
        <v/>
      </c>
      <c r="Y420" s="95" t="e">
        <f t="shared" si="13"/>
        <v>#VALUE!</v>
      </c>
      <c r="Z420" s="6"/>
      <c r="AA420" s="6"/>
    </row>
    <row r="421" spans="1:27" ht="28.95" customHeight="1" x14ac:dyDescent="0.3">
      <c r="A421" s="91"/>
      <c r="B421" s="91"/>
      <c r="C421" s="80"/>
      <c r="D421" s="91"/>
      <c r="E421" s="80"/>
      <c r="F421" s="6"/>
      <c r="G421" s="6"/>
      <c r="H421" s="25"/>
      <c r="I421" s="133"/>
      <c r="J421" s="6"/>
      <c r="K421" s="6"/>
      <c r="L421" s="6"/>
      <c r="M421" s="6"/>
      <c r="N421" s="84"/>
      <c r="O421" s="80" t="str">
        <f>IF(N421="","",VLOOKUP(N421,ROLES!B:C,2,FALSE))</f>
        <v/>
      </c>
      <c r="P421" s="15"/>
      <c r="Q421" s="15"/>
      <c r="R421" s="16">
        <f t="shared" si="14"/>
        <v>0</v>
      </c>
      <c r="S421" s="16"/>
      <c r="T421" s="80" t="str">
        <f>IF(S421="","",VLOOKUP(S421,VALORACION!F:G,2,FALSE))</f>
        <v/>
      </c>
      <c r="U421" s="11"/>
      <c r="V421" s="80" t="str">
        <f>IF(U421="","",VLOOKUP(U421,ROLES!G:H,2,FALSE))</f>
        <v/>
      </c>
      <c r="W421" s="11"/>
      <c r="X421" s="80" t="str">
        <f>IF(W421="","",VLOOKUP(W421,ROLES!I:J,2,FALSE))</f>
        <v/>
      </c>
      <c r="Y421" s="95" t="e">
        <f t="shared" si="13"/>
        <v>#VALUE!</v>
      </c>
      <c r="Z421" s="6"/>
      <c r="AA421" s="6"/>
    </row>
    <row r="422" spans="1:27" ht="28.95" customHeight="1" x14ac:dyDescent="0.3">
      <c r="A422" s="91"/>
      <c r="B422" s="91"/>
      <c r="C422" s="80"/>
      <c r="D422" s="91"/>
      <c r="E422" s="80"/>
      <c r="F422" s="6"/>
      <c r="G422" s="6"/>
      <c r="H422" s="25"/>
      <c r="I422" s="133"/>
      <c r="J422" s="6"/>
      <c r="K422" s="6"/>
      <c r="L422" s="6"/>
      <c r="M422" s="6"/>
      <c r="N422" s="84"/>
      <c r="O422" s="80" t="str">
        <f>IF(N422="","",VLOOKUP(N422,ROLES!B:C,2,FALSE))</f>
        <v/>
      </c>
      <c r="P422" s="15"/>
      <c r="Q422" s="15"/>
      <c r="R422" s="16">
        <f t="shared" si="14"/>
        <v>0</v>
      </c>
      <c r="S422" s="16"/>
      <c r="T422" s="80" t="str">
        <f>IF(S422="","",VLOOKUP(S422,VALORACION!F:G,2,FALSE))</f>
        <v/>
      </c>
      <c r="U422" s="11"/>
      <c r="V422" s="80" t="str">
        <f>IF(U422="","",VLOOKUP(U422,ROLES!G:H,2,FALSE))</f>
        <v/>
      </c>
      <c r="W422" s="11"/>
      <c r="X422" s="80" t="str">
        <f>IF(W422="","",VLOOKUP(W422,ROLES!I:J,2,FALSE))</f>
        <v/>
      </c>
      <c r="Y422" s="95" t="e">
        <f t="shared" si="13"/>
        <v>#VALUE!</v>
      </c>
      <c r="Z422" s="6"/>
      <c r="AA422" s="6"/>
    </row>
    <row r="423" spans="1:27" ht="28.95" customHeight="1" x14ac:dyDescent="0.3">
      <c r="A423" s="91"/>
      <c r="B423" s="91"/>
      <c r="C423" s="80"/>
      <c r="D423" s="91"/>
      <c r="E423" s="80"/>
      <c r="F423" s="6"/>
      <c r="G423" s="6"/>
      <c r="H423" s="25"/>
      <c r="I423" s="133"/>
      <c r="J423" s="6"/>
      <c r="K423" s="6"/>
      <c r="L423" s="6"/>
      <c r="M423" s="6"/>
      <c r="N423" s="84"/>
      <c r="O423" s="80" t="str">
        <f>IF(N423="","",VLOOKUP(N423,ROLES!B:C,2,FALSE))</f>
        <v/>
      </c>
      <c r="P423" s="15"/>
      <c r="Q423" s="15"/>
      <c r="R423" s="16">
        <f t="shared" si="14"/>
        <v>0</v>
      </c>
      <c r="S423" s="16"/>
      <c r="T423" s="80" t="str">
        <f>IF(S423="","",VLOOKUP(S423,VALORACION!F:G,2,FALSE))</f>
        <v/>
      </c>
      <c r="U423" s="11"/>
      <c r="V423" s="80" t="str">
        <f>IF(U423="","",VLOOKUP(U423,ROLES!G:H,2,FALSE))</f>
        <v/>
      </c>
      <c r="W423" s="11"/>
      <c r="X423" s="80" t="str">
        <f>IF(W423="","",VLOOKUP(W423,ROLES!I:J,2,FALSE))</f>
        <v/>
      </c>
      <c r="Y423" s="95" t="e">
        <f t="shared" si="13"/>
        <v>#VALUE!</v>
      </c>
      <c r="Z423" s="6"/>
      <c r="AA423" s="6"/>
    </row>
    <row r="424" spans="1:27" ht="28.95" customHeight="1" x14ac:dyDescent="0.3">
      <c r="A424" s="91"/>
      <c r="B424" s="91"/>
      <c r="C424" s="80"/>
      <c r="D424" s="91"/>
      <c r="E424" s="80"/>
      <c r="F424" s="6"/>
      <c r="G424" s="6"/>
      <c r="H424" s="25"/>
      <c r="I424" s="133"/>
      <c r="J424" s="6"/>
      <c r="K424" s="6"/>
      <c r="L424" s="6"/>
      <c r="M424" s="6"/>
      <c r="N424" s="84"/>
      <c r="O424" s="80" t="str">
        <f>IF(N424="","",VLOOKUP(N424,ROLES!B:C,2,FALSE))</f>
        <v/>
      </c>
      <c r="P424" s="15"/>
      <c r="Q424" s="15"/>
      <c r="R424" s="16">
        <f t="shared" si="14"/>
        <v>0</v>
      </c>
      <c r="S424" s="16"/>
      <c r="T424" s="80" t="str">
        <f>IF(S424="","",VLOOKUP(S424,VALORACION!F:G,2,FALSE))</f>
        <v/>
      </c>
      <c r="U424" s="11"/>
      <c r="V424" s="80" t="str">
        <f>IF(U424="","",VLOOKUP(U424,ROLES!G:H,2,FALSE))</f>
        <v/>
      </c>
      <c r="W424" s="11"/>
      <c r="X424" s="80" t="str">
        <f>IF(W424="","",VLOOKUP(W424,ROLES!I:J,2,FALSE))</f>
        <v/>
      </c>
      <c r="Y424" s="95" t="e">
        <f t="shared" si="13"/>
        <v>#VALUE!</v>
      </c>
      <c r="Z424" s="6"/>
      <c r="AA424" s="6"/>
    </row>
    <row r="425" spans="1:27" ht="28.95" customHeight="1" x14ac:dyDescent="0.3">
      <c r="A425" s="91"/>
      <c r="B425" s="91"/>
      <c r="C425" s="80"/>
      <c r="D425" s="91"/>
      <c r="E425" s="80"/>
      <c r="F425" s="6"/>
      <c r="G425" s="6"/>
      <c r="H425" s="25"/>
      <c r="I425" s="133"/>
      <c r="J425" s="6"/>
      <c r="K425" s="6"/>
      <c r="L425" s="6"/>
      <c r="M425" s="6"/>
      <c r="N425" s="84"/>
      <c r="O425" s="80" t="str">
        <f>IF(N425="","",VLOOKUP(N425,ROLES!B:C,2,FALSE))</f>
        <v/>
      </c>
      <c r="P425" s="15"/>
      <c r="Q425" s="15"/>
      <c r="R425" s="16">
        <f t="shared" si="14"/>
        <v>0</v>
      </c>
      <c r="S425" s="16"/>
      <c r="T425" s="80" t="str">
        <f>IF(S425="","",VLOOKUP(S425,VALORACION!F:G,2,FALSE))</f>
        <v/>
      </c>
      <c r="U425" s="11"/>
      <c r="V425" s="80" t="str">
        <f>IF(U425="","",VLOOKUP(U425,ROLES!G:H,2,FALSE))</f>
        <v/>
      </c>
      <c r="W425" s="11"/>
      <c r="X425" s="80" t="str">
        <f>IF(W425="","",VLOOKUP(W425,ROLES!I:J,2,FALSE))</f>
        <v/>
      </c>
      <c r="Y425" s="95" t="e">
        <f t="shared" si="13"/>
        <v>#VALUE!</v>
      </c>
      <c r="Z425" s="6"/>
      <c r="AA425" s="6"/>
    </row>
    <row r="426" spans="1:27" ht="28.95" customHeight="1" x14ac:dyDescent="0.3">
      <c r="A426" s="91"/>
      <c r="B426" s="91"/>
      <c r="C426" s="80"/>
      <c r="D426" s="91"/>
      <c r="E426" s="80"/>
      <c r="F426" s="6"/>
      <c r="G426" s="6"/>
      <c r="H426" s="25"/>
      <c r="I426" s="133"/>
      <c r="J426" s="6"/>
      <c r="K426" s="6"/>
      <c r="L426" s="6"/>
      <c r="M426" s="6"/>
      <c r="N426" s="84"/>
      <c r="O426" s="80" t="str">
        <f>IF(N426="","",VLOOKUP(N426,ROLES!B:C,2,FALSE))</f>
        <v/>
      </c>
      <c r="P426" s="15"/>
      <c r="Q426" s="15"/>
      <c r="R426" s="16">
        <f t="shared" si="14"/>
        <v>0</v>
      </c>
      <c r="S426" s="16"/>
      <c r="T426" s="80" t="str">
        <f>IF(S426="","",VLOOKUP(S426,VALORACION!F:G,2,FALSE))</f>
        <v/>
      </c>
      <c r="U426" s="11"/>
      <c r="V426" s="80" t="str">
        <f>IF(U426="","",VLOOKUP(U426,ROLES!G:H,2,FALSE))</f>
        <v/>
      </c>
      <c r="W426" s="11"/>
      <c r="X426" s="80" t="str">
        <f>IF(W426="","",VLOOKUP(W426,ROLES!I:J,2,FALSE))</f>
        <v/>
      </c>
      <c r="Y426" s="95" t="e">
        <f t="shared" si="13"/>
        <v>#VALUE!</v>
      </c>
      <c r="Z426" s="6"/>
      <c r="AA426" s="6"/>
    </row>
    <row r="427" spans="1:27" ht="28.95" customHeight="1" x14ac:dyDescent="0.3">
      <c r="A427" s="91"/>
      <c r="B427" s="91"/>
      <c r="C427" s="80"/>
      <c r="D427" s="91"/>
      <c r="E427" s="80"/>
      <c r="F427" s="6"/>
      <c r="G427" s="6"/>
      <c r="H427" s="25"/>
      <c r="I427" s="133"/>
      <c r="J427" s="6"/>
      <c r="K427" s="6"/>
      <c r="L427" s="6"/>
      <c r="M427" s="6"/>
      <c r="N427" s="84"/>
      <c r="O427" s="80" t="str">
        <f>IF(N427="","",VLOOKUP(N427,ROLES!B:C,2,FALSE))</f>
        <v/>
      </c>
      <c r="P427" s="15"/>
      <c r="Q427" s="15"/>
      <c r="R427" s="16">
        <f t="shared" si="14"/>
        <v>0</v>
      </c>
      <c r="S427" s="16"/>
      <c r="T427" s="80" t="str">
        <f>IF(S427="","",VLOOKUP(S427,VALORACION!F:G,2,FALSE))</f>
        <v/>
      </c>
      <c r="U427" s="11"/>
      <c r="V427" s="80" t="str">
        <f>IF(U427="","",VLOOKUP(U427,ROLES!G:H,2,FALSE))</f>
        <v/>
      </c>
      <c r="W427" s="11"/>
      <c r="X427" s="80" t="str">
        <f>IF(W427="","",VLOOKUP(W427,ROLES!I:J,2,FALSE))</f>
        <v/>
      </c>
      <c r="Y427" s="95" t="e">
        <f t="shared" si="13"/>
        <v>#VALUE!</v>
      </c>
      <c r="Z427" s="6"/>
      <c r="AA427" s="6"/>
    </row>
    <row r="428" spans="1:27" ht="28.95" customHeight="1" x14ac:dyDescent="0.3">
      <c r="A428" s="91"/>
      <c r="B428" s="91"/>
      <c r="C428" s="80"/>
      <c r="D428" s="91"/>
      <c r="E428" s="80"/>
      <c r="F428" s="6"/>
      <c r="G428" s="6"/>
      <c r="H428" s="25"/>
      <c r="I428" s="133"/>
      <c r="J428" s="6"/>
      <c r="K428" s="6"/>
      <c r="L428" s="6"/>
      <c r="M428" s="6"/>
      <c r="N428" s="84"/>
      <c r="O428" s="80" t="str">
        <f>IF(N428="","",VLOOKUP(N428,ROLES!B:C,2,FALSE))</f>
        <v/>
      </c>
      <c r="P428" s="15"/>
      <c r="Q428" s="15"/>
      <c r="R428" s="16">
        <f t="shared" si="14"/>
        <v>0</v>
      </c>
      <c r="S428" s="16"/>
      <c r="T428" s="80" t="str">
        <f>IF(S428="","",VLOOKUP(S428,VALORACION!F:G,2,FALSE))</f>
        <v/>
      </c>
      <c r="U428" s="11"/>
      <c r="V428" s="80" t="str">
        <f>IF(U428="","",VLOOKUP(U428,ROLES!G:H,2,FALSE))</f>
        <v/>
      </c>
      <c r="W428" s="11"/>
      <c r="X428" s="80" t="str">
        <f>IF(W428="","",VLOOKUP(W428,ROLES!I:J,2,FALSE))</f>
        <v/>
      </c>
      <c r="Y428" s="95" t="e">
        <f t="shared" si="13"/>
        <v>#VALUE!</v>
      </c>
      <c r="Z428" s="6"/>
      <c r="AA428" s="6"/>
    </row>
    <row r="429" spans="1:27" ht="28.95" customHeight="1" x14ac:dyDescent="0.3">
      <c r="A429" s="91"/>
      <c r="B429" s="91"/>
      <c r="C429" s="80"/>
      <c r="D429" s="91"/>
      <c r="E429" s="80"/>
      <c r="F429" s="6"/>
      <c r="G429" s="6"/>
      <c r="H429" s="25"/>
      <c r="I429" s="133"/>
      <c r="J429" s="6"/>
      <c r="K429" s="6"/>
      <c r="L429" s="6"/>
      <c r="M429" s="6"/>
      <c r="N429" s="84"/>
      <c r="O429" s="80" t="str">
        <f>IF(N429="","",VLOOKUP(N429,ROLES!B:C,2,FALSE))</f>
        <v/>
      </c>
      <c r="P429" s="15"/>
      <c r="Q429" s="15"/>
      <c r="R429" s="16">
        <f t="shared" si="14"/>
        <v>0</v>
      </c>
      <c r="S429" s="16"/>
      <c r="T429" s="80" t="str">
        <f>IF(S429="","",VLOOKUP(S429,VALORACION!F:G,2,FALSE))</f>
        <v/>
      </c>
      <c r="U429" s="11"/>
      <c r="V429" s="80" t="str">
        <f>IF(U429="","",VLOOKUP(U429,ROLES!G:H,2,FALSE))</f>
        <v/>
      </c>
      <c r="W429" s="11"/>
      <c r="X429" s="80" t="str">
        <f>IF(W429="","",VLOOKUP(W429,ROLES!I:J,2,FALSE))</f>
        <v/>
      </c>
      <c r="Y429" s="95" t="e">
        <f t="shared" si="13"/>
        <v>#VALUE!</v>
      </c>
      <c r="Z429" s="6"/>
      <c r="AA429" s="6"/>
    </row>
    <row r="430" spans="1:27" ht="28.95" customHeight="1" x14ac:dyDescent="0.3">
      <c r="A430" s="91"/>
      <c r="B430" s="91"/>
      <c r="C430" s="80"/>
      <c r="D430" s="91"/>
      <c r="E430" s="80"/>
      <c r="F430" s="6"/>
      <c r="G430" s="6"/>
      <c r="H430" s="25"/>
      <c r="I430" s="133"/>
      <c r="J430" s="6"/>
      <c r="K430" s="6"/>
      <c r="L430" s="6"/>
      <c r="M430" s="6"/>
      <c r="N430" s="84"/>
      <c r="O430" s="80" t="str">
        <f>IF(N430="","",VLOOKUP(N430,ROLES!B:C,2,FALSE))</f>
        <v/>
      </c>
      <c r="P430" s="15"/>
      <c r="Q430" s="15"/>
      <c r="R430" s="16">
        <f t="shared" si="14"/>
        <v>0</v>
      </c>
      <c r="S430" s="16"/>
      <c r="T430" s="80" t="str">
        <f>IF(S430="","",VLOOKUP(S430,VALORACION!F:G,2,FALSE))</f>
        <v/>
      </c>
      <c r="U430" s="11"/>
      <c r="V430" s="80" t="str">
        <f>IF(U430="","",VLOOKUP(U430,ROLES!G:H,2,FALSE))</f>
        <v/>
      </c>
      <c r="W430" s="11"/>
      <c r="X430" s="80" t="str">
        <f>IF(W430="","",VLOOKUP(W430,ROLES!I:J,2,FALSE))</f>
        <v/>
      </c>
      <c r="Y430" s="95" t="e">
        <f t="shared" si="13"/>
        <v>#VALUE!</v>
      </c>
      <c r="Z430" s="6"/>
      <c r="AA430" s="6"/>
    </row>
    <row r="431" spans="1:27" ht="28.95" customHeight="1" x14ac:dyDescent="0.3">
      <c r="A431" s="91"/>
      <c r="B431" s="91"/>
      <c r="C431" s="80"/>
      <c r="D431" s="91"/>
      <c r="E431" s="80"/>
      <c r="F431" s="6"/>
      <c r="G431" s="6"/>
      <c r="H431" s="25"/>
      <c r="I431" s="133"/>
      <c r="J431" s="6"/>
      <c r="K431" s="6"/>
      <c r="L431" s="6"/>
      <c r="M431" s="6"/>
      <c r="N431" s="84"/>
      <c r="O431" s="80" t="str">
        <f>IF(N431="","",VLOOKUP(N431,ROLES!B:C,2,FALSE))</f>
        <v/>
      </c>
      <c r="P431" s="15"/>
      <c r="Q431" s="15"/>
      <c r="R431" s="16">
        <f t="shared" si="14"/>
        <v>0</v>
      </c>
      <c r="S431" s="16"/>
      <c r="T431" s="80" t="str">
        <f>IF(S431="","",VLOOKUP(S431,VALORACION!F:G,2,FALSE))</f>
        <v/>
      </c>
      <c r="U431" s="11"/>
      <c r="V431" s="80" t="str">
        <f>IF(U431="","",VLOOKUP(U431,ROLES!G:H,2,FALSE))</f>
        <v/>
      </c>
      <c r="W431" s="11"/>
      <c r="X431" s="80" t="str">
        <f>IF(W431="","",VLOOKUP(W431,ROLES!I:J,2,FALSE))</f>
        <v/>
      </c>
      <c r="Y431" s="95" t="e">
        <f t="shared" si="13"/>
        <v>#VALUE!</v>
      </c>
      <c r="Z431" s="6"/>
      <c r="AA431" s="6"/>
    </row>
    <row r="432" spans="1:27" ht="28.95" customHeight="1" x14ac:dyDescent="0.3">
      <c r="A432" s="91"/>
      <c r="B432" s="91"/>
      <c r="C432" s="80"/>
      <c r="D432" s="91"/>
      <c r="E432" s="80"/>
      <c r="F432" s="6"/>
      <c r="G432" s="6"/>
      <c r="H432" s="25"/>
      <c r="I432" s="133"/>
      <c r="J432" s="6"/>
      <c r="K432" s="6"/>
      <c r="L432" s="6"/>
      <c r="M432" s="6"/>
      <c r="N432" s="84"/>
      <c r="O432" s="80" t="str">
        <f>IF(N432="","",VLOOKUP(N432,ROLES!B:C,2,FALSE))</f>
        <v/>
      </c>
      <c r="P432" s="15"/>
      <c r="Q432" s="15"/>
      <c r="R432" s="16">
        <f t="shared" si="14"/>
        <v>0</v>
      </c>
      <c r="S432" s="16"/>
      <c r="T432" s="80" t="str">
        <f>IF(S432="","",VLOOKUP(S432,VALORACION!F:G,2,FALSE))</f>
        <v/>
      </c>
      <c r="U432" s="11"/>
      <c r="V432" s="80" t="str">
        <f>IF(U432="","",VLOOKUP(U432,ROLES!G:H,2,FALSE))</f>
        <v/>
      </c>
      <c r="W432" s="11"/>
      <c r="X432" s="80" t="str">
        <f>IF(W432="","",VLOOKUP(W432,ROLES!I:J,2,FALSE))</f>
        <v/>
      </c>
      <c r="Y432" s="95" t="e">
        <f t="shared" si="13"/>
        <v>#VALUE!</v>
      </c>
      <c r="Z432" s="6"/>
      <c r="AA432" s="6"/>
    </row>
    <row r="433" spans="1:27" ht="28.95" customHeight="1" x14ac:dyDescent="0.3">
      <c r="A433" s="91"/>
      <c r="B433" s="91"/>
      <c r="C433" s="80"/>
      <c r="D433" s="91"/>
      <c r="E433" s="80"/>
      <c r="F433" s="6"/>
      <c r="G433" s="6"/>
      <c r="H433" s="25"/>
      <c r="I433" s="133"/>
      <c r="J433" s="6"/>
      <c r="K433" s="6"/>
      <c r="L433" s="6"/>
      <c r="M433" s="6"/>
      <c r="N433" s="84"/>
      <c r="O433" s="80" t="str">
        <f>IF(N433="","",VLOOKUP(N433,ROLES!B:C,2,FALSE))</f>
        <v/>
      </c>
      <c r="P433" s="15"/>
      <c r="Q433" s="15"/>
      <c r="R433" s="16">
        <f t="shared" si="14"/>
        <v>0</v>
      </c>
      <c r="S433" s="16"/>
      <c r="T433" s="80" t="str">
        <f>IF(S433="","",VLOOKUP(S433,VALORACION!F:G,2,FALSE))</f>
        <v/>
      </c>
      <c r="U433" s="11"/>
      <c r="V433" s="80" t="str">
        <f>IF(U433="","",VLOOKUP(U433,ROLES!G:H,2,FALSE))</f>
        <v/>
      </c>
      <c r="W433" s="11"/>
      <c r="X433" s="80" t="str">
        <f>IF(W433="","",VLOOKUP(W433,ROLES!I:J,2,FALSE))</f>
        <v/>
      </c>
      <c r="Y433" s="95" t="e">
        <f t="shared" si="13"/>
        <v>#VALUE!</v>
      </c>
      <c r="Z433" s="6"/>
      <c r="AA433" s="6"/>
    </row>
    <row r="434" spans="1:27" ht="28.95" customHeight="1" x14ac:dyDescent="0.3">
      <c r="A434" s="91"/>
      <c r="B434" s="91"/>
      <c r="C434" s="80"/>
      <c r="D434" s="91"/>
      <c r="E434" s="80"/>
      <c r="F434" s="6"/>
      <c r="G434" s="6"/>
      <c r="H434" s="25"/>
      <c r="I434" s="133"/>
      <c r="J434" s="6"/>
      <c r="K434" s="6"/>
      <c r="L434" s="6"/>
      <c r="M434" s="6"/>
      <c r="N434" s="84"/>
      <c r="O434" s="80" t="str">
        <f>IF(N434="","",VLOOKUP(N434,ROLES!B:C,2,FALSE))</f>
        <v/>
      </c>
      <c r="P434" s="15"/>
      <c r="Q434" s="15"/>
      <c r="R434" s="16">
        <f t="shared" si="14"/>
        <v>0</v>
      </c>
      <c r="S434" s="16"/>
      <c r="T434" s="80" t="str">
        <f>IF(S434="","",VLOOKUP(S434,VALORACION!F:G,2,FALSE))</f>
        <v/>
      </c>
      <c r="U434" s="11"/>
      <c r="V434" s="80" t="str">
        <f>IF(U434="","",VLOOKUP(U434,ROLES!G:H,2,FALSE))</f>
        <v/>
      </c>
      <c r="W434" s="11"/>
      <c r="X434" s="80" t="str">
        <f>IF(W434="","",VLOOKUP(W434,ROLES!I:J,2,FALSE))</f>
        <v/>
      </c>
      <c r="Y434" s="95" t="e">
        <f t="shared" si="13"/>
        <v>#VALUE!</v>
      </c>
      <c r="Z434" s="6"/>
      <c r="AA434" s="6"/>
    </row>
    <row r="435" spans="1:27" ht="28.95" customHeight="1" x14ac:dyDescent="0.3">
      <c r="A435" s="91"/>
      <c r="B435" s="91"/>
      <c r="C435" s="80"/>
      <c r="D435" s="91"/>
      <c r="E435" s="80"/>
      <c r="F435" s="6"/>
      <c r="G435" s="6"/>
      <c r="H435" s="25"/>
      <c r="I435" s="133"/>
      <c r="J435" s="6"/>
      <c r="K435" s="6"/>
      <c r="L435" s="6"/>
      <c r="M435" s="6"/>
      <c r="N435" s="84"/>
      <c r="O435" s="80" t="str">
        <f>IF(N435="","",VLOOKUP(N435,ROLES!B:C,2,FALSE))</f>
        <v/>
      </c>
      <c r="P435" s="15"/>
      <c r="Q435" s="15"/>
      <c r="R435" s="16">
        <f t="shared" si="14"/>
        <v>0</v>
      </c>
      <c r="S435" s="16"/>
      <c r="T435" s="80" t="str">
        <f>IF(S435="","",VLOOKUP(S435,VALORACION!F:G,2,FALSE))</f>
        <v/>
      </c>
      <c r="U435" s="11"/>
      <c r="V435" s="80" t="str">
        <f>IF(U435="","",VLOOKUP(U435,ROLES!G:H,2,FALSE))</f>
        <v/>
      </c>
      <c r="W435" s="11"/>
      <c r="X435" s="80" t="str">
        <f>IF(W435="","",VLOOKUP(W435,ROLES!I:J,2,FALSE))</f>
        <v/>
      </c>
      <c r="Y435" s="95" t="e">
        <f t="shared" si="13"/>
        <v>#VALUE!</v>
      </c>
      <c r="Z435" s="6"/>
      <c r="AA435" s="6"/>
    </row>
    <row r="436" spans="1:27" ht="28.95" customHeight="1" x14ac:dyDescent="0.3">
      <c r="A436" s="91"/>
      <c r="B436" s="91"/>
      <c r="C436" s="80"/>
      <c r="D436" s="91"/>
      <c r="E436" s="80"/>
      <c r="F436" s="6"/>
      <c r="G436" s="6"/>
      <c r="H436" s="25"/>
      <c r="I436" s="133"/>
      <c r="J436" s="6"/>
      <c r="K436" s="6"/>
      <c r="L436" s="6"/>
      <c r="M436" s="6"/>
      <c r="N436" s="84"/>
      <c r="O436" s="80" t="str">
        <f>IF(N436="","",VLOOKUP(N436,ROLES!B:C,2,FALSE))</f>
        <v/>
      </c>
      <c r="P436" s="15"/>
      <c r="Q436" s="15"/>
      <c r="R436" s="16">
        <f t="shared" si="14"/>
        <v>0</v>
      </c>
      <c r="S436" s="16"/>
      <c r="T436" s="80" t="str">
        <f>IF(S436="","",VLOOKUP(S436,VALORACION!F:G,2,FALSE))</f>
        <v/>
      </c>
      <c r="U436" s="11"/>
      <c r="V436" s="80" t="str">
        <f>IF(U436="","",VLOOKUP(U436,ROLES!G:H,2,FALSE))</f>
        <v/>
      </c>
      <c r="W436" s="11"/>
      <c r="X436" s="80" t="str">
        <f>IF(W436="","",VLOOKUP(W436,ROLES!I:J,2,FALSE))</f>
        <v/>
      </c>
      <c r="Y436" s="95" t="e">
        <f t="shared" si="13"/>
        <v>#VALUE!</v>
      </c>
      <c r="Z436" s="6"/>
      <c r="AA436" s="6"/>
    </row>
    <row r="437" spans="1:27" ht="28.95" customHeight="1" x14ac:dyDescent="0.3">
      <c r="A437" s="91"/>
      <c r="B437" s="91"/>
      <c r="C437" s="80"/>
      <c r="D437" s="91"/>
      <c r="E437" s="80"/>
      <c r="F437" s="6"/>
      <c r="G437" s="6"/>
      <c r="H437" s="25"/>
      <c r="I437" s="133"/>
      <c r="J437" s="6"/>
      <c r="K437" s="6"/>
      <c r="L437" s="6"/>
      <c r="M437" s="6"/>
      <c r="N437" s="84"/>
      <c r="O437" s="80" t="str">
        <f>IF(N437="","",VLOOKUP(N437,ROLES!B:C,2,FALSE))</f>
        <v/>
      </c>
      <c r="P437" s="15"/>
      <c r="Q437" s="15"/>
      <c r="R437" s="16">
        <f t="shared" si="14"/>
        <v>0</v>
      </c>
      <c r="S437" s="16"/>
      <c r="T437" s="80" t="str">
        <f>IF(S437="","",VLOOKUP(S437,VALORACION!F:G,2,FALSE))</f>
        <v/>
      </c>
      <c r="U437" s="11"/>
      <c r="V437" s="80" t="str">
        <f>IF(U437="","",VLOOKUP(U437,ROLES!G:H,2,FALSE))</f>
        <v/>
      </c>
      <c r="W437" s="11"/>
      <c r="X437" s="80" t="str">
        <f>IF(W437="","",VLOOKUP(W437,ROLES!I:J,2,FALSE))</f>
        <v/>
      </c>
      <c r="Y437" s="95" t="e">
        <f t="shared" si="13"/>
        <v>#VALUE!</v>
      </c>
      <c r="Z437" s="6"/>
      <c r="AA437" s="6"/>
    </row>
    <row r="438" spans="1:27" ht="28.95" customHeight="1" x14ac:dyDescent="0.3">
      <c r="A438" s="91"/>
      <c r="B438" s="91"/>
      <c r="C438" s="80"/>
      <c r="D438" s="91"/>
      <c r="E438" s="80"/>
      <c r="F438" s="6"/>
      <c r="G438" s="6"/>
      <c r="H438" s="25"/>
      <c r="I438" s="133"/>
      <c r="J438" s="6"/>
      <c r="K438" s="6"/>
      <c r="L438" s="6"/>
      <c r="M438" s="6"/>
      <c r="N438" s="84"/>
      <c r="O438" s="80" t="str">
        <f>IF(N438="","",VLOOKUP(N438,ROLES!B:C,2,FALSE))</f>
        <v/>
      </c>
      <c r="P438" s="15"/>
      <c r="Q438" s="15"/>
      <c r="R438" s="16">
        <f t="shared" si="14"/>
        <v>0</v>
      </c>
      <c r="S438" s="16"/>
      <c r="T438" s="80" t="str">
        <f>IF(S438="","",VLOOKUP(S438,VALORACION!F:G,2,FALSE))</f>
        <v/>
      </c>
      <c r="U438" s="11"/>
      <c r="V438" s="80" t="str">
        <f>IF(U438="","",VLOOKUP(U438,ROLES!G:H,2,FALSE))</f>
        <v/>
      </c>
      <c r="W438" s="11"/>
      <c r="X438" s="80" t="str">
        <f>IF(W438="","",VLOOKUP(W438,ROLES!I:J,2,FALSE))</f>
        <v/>
      </c>
      <c r="Y438" s="95" t="e">
        <f t="shared" si="13"/>
        <v>#VALUE!</v>
      </c>
      <c r="Z438" s="6"/>
      <c r="AA438" s="6"/>
    </row>
    <row r="439" spans="1:27" ht="28.95" customHeight="1" x14ac:dyDescent="0.3">
      <c r="A439" s="91"/>
      <c r="B439" s="91"/>
      <c r="C439" s="80"/>
      <c r="D439" s="91"/>
      <c r="E439" s="80"/>
      <c r="F439" s="6"/>
      <c r="G439" s="6"/>
      <c r="H439" s="25"/>
      <c r="I439" s="133"/>
      <c r="J439" s="6"/>
      <c r="K439" s="6"/>
      <c r="L439" s="6"/>
      <c r="M439" s="6"/>
      <c r="N439" s="84"/>
      <c r="O439" s="80" t="str">
        <f>IF(N439="","",VLOOKUP(N439,ROLES!B:C,2,FALSE))</f>
        <v/>
      </c>
      <c r="P439" s="15"/>
      <c r="Q439" s="15"/>
      <c r="R439" s="16">
        <f t="shared" si="14"/>
        <v>0</v>
      </c>
      <c r="S439" s="16"/>
      <c r="T439" s="80" t="str">
        <f>IF(S439="","",VLOOKUP(S439,VALORACION!F:G,2,FALSE))</f>
        <v/>
      </c>
      <c r="U439" s="11"/>
      <c r="V439" s="80" t="str">
        <f>IF(U439="","",VLOOKUP(U439,ROLES!G:H,2,FALSE))</f>
        <v/>
      </c>
      <c r="W439" s="11"/>
      <c r="X439" s="80" t="str">
        <f>IF(W439="","",VLOOKUP(W439,ROLES!I:J,2,FALSE))</f>
        <v/>
      </c>
      <c r="Y439" s="95" t="e">
        <f t="shared" si="13"/>
        <v>#VALUE!</v>
      </c>
      <c r="Z439" s="6"/>
      <c r="AA439" s="6"/>
    </row>
    <row r="440" spans="1:27" ht="28.95" customHeight="1" x14ac:dyDescent="0.3">
      <c r="A440" s="91"/>
      <c r="B440" s="91"/>
      <c r="C440" s="80"/>
      <c r="D440" s="91"/>
      <c r="E440" s="80"/>
      <c r="F440" s="6"/>
      <c r="G440" s="6"/>
      <c r="H440" s="25"/>
      <c r="I440" s="133"/>
      <c r="J440" s="6"/>
      <c r="K440" s="6"/>
      <c r="L440" s="6"/>
      <c r="M440" s="6"/>
      <c r="N440" s="84"/>
      <c r="O440" s="80" t="str">
        <f>IF(N440="","",VLOOKUP(N440,ROLES!B:C,2,FALSE))</f>
        <v/>
      </c>
      <c r="P440" s="15"/>
      <c r="Q440" s="15"/>
      <c r="R440" s="16">
        <f t="shared" si="14"/>
        <v>0</v>
      </c>
      <c r="S440" s="16"/>
      <c r="T440" s="80" t="str">
        <f>IF(S440="","",VLOOKUP(S440,VALORACION!F:G,2,FALSE))</f>
        <v/>
      </c>
      <c r="U440" s="11"/>
      <c r="V440" s="80" t="str">
        <f>IF(U440="","",VLOOKUP(U440,ROLES!G:H,2,FALSE))</f>
        <v/>
      </c>
      <c r="W440" s="11"/>
      <c r="X440" s="80" t="str">
        <f>IF(W440="","",VLOOKUP(W440,ROLES!I:J,2,FALSE))</f>
        <v/>
      </c>
      <c r="Y440" s="95" t="e">
        <f t="shared" si="13"/>
        <v>#VALUE!</v>
      </c>
      <c r="Z440" s="6"/>
      <c r="AA440" s="6"/>
    </row>
    <row r="441" spans="1:27" ht="28.95" customHeight="1" x14ac:dyDescent="0.3">
      <c r="A441" s="91"/>
      <c r="B441" s="91"/>
      <c r="C441" s="80"/>
      <c r="D441" s="91"/>
      <c r="E441" s="80"/>
      <c r="F441" s="6"/>
      <c r="G441" s="6"/>
      <c r="H441" s="25"/>
      <c r="I441" s="133"/>
      <c r="J441" s="6"/>
      <c r="K441" s="6"/>
      <c r="L441" s="6"/>
      <c r="M441" s="6"/>
      <c r="N441" s="84"/>
      <c r="O441" s="80" t="str">
        <f>IF(N441="","",VLOOKUP(N441,ROLES!B:C,2,FALSE))</f>
        <v/>
      </c>
      <c r="P441" s="15"/>
      <c r="Q441" s="15"/>
      <c r="R441" s="16">
        <f t="shared" si="14"/>
        <v>0</v>
      </c>
      <c r="S441" s="16"/>
      <c r="T441" s="80" t="str">
        <f>IF(S441="","",VLOOKUP(S441,VALORACION!F:G,2,FALSE))</f>
        <v/>
      </c>
      <c r="U441" s="11"/>
      <c r="V441" s="80" t="str">
        <f>IF(U441="","",VLOOKUP(U441,ROLES!G:H,2,FALSE))</f>
        <v/>
      </c>
      <c r="W441" s="11"/>
      <c r="X441" s="80" t="str">
        <f>IF(W441="","",VLOOKUP(W441,ROLES!I:J,2,FALSE))</f>
        <v/>
      </c>
      <c r="Y441" s="95" t="e">
        <f t="shared" si="13"/>
        <v>#VALUE!</v>
      </c>
      <c r="Z441" s="6"/>
      <c r="AA441" s="6"/>
    </row>
    <row r="442" spans="1:27" ht="28.95" customHeight="1" x14ac:dyDescent="0.3">
      <c r="A442" s="91"/>
      <c r="B442" s="91"/>
      <c r="C442" s="80"/>
      <c r="D442" s="91"/>
      <c r="E442" s="80"/>
      <c r="F442" s="6"/>
      <c r="G442" s="6"/>
      <c r="H442" s="25"/>
      <c r="I442" s="133"/>
      <c r="J442" s="6"/>
      <c r="K442" s="6"/>
      <c r="L442" s="6"/>
      <c r="M442" s="6"/>
      <c r="N442" s="84"/>
      <c r="O442" s="80" t="str">
        <f>IF(N442="","",VLOOKUP(N442,ROLES!B:C,2,FALSE))</f>
        <v/>
      </c>
      <c r="P442" s="15"/>
      <c r="Q442" s="15"/>
      <c r="R442" s="16">
        <f t="shared" si="14"/>
        <v>0</v>
      </c>
      <c r="S442" s="16"/>
      <c r="T442" s="80" t="str">
        <f>IF(S442="","",VLOOKUP(S442,VALORACION!F:G,2,FALSE))</f>
        <v/>
      </c>
      <c r="U442" s="11"/>
      <c r="V442" s="80" t="str">
        <f>IF(U442="","",VLOOKUP(U442,ROLES!G:H,2,FALSE))</f>
        <v/>
      </c>
      <c r="W442" s="11"/>
      <c r="X442" s="80" t="str">
        <f>IF(W442="","",VLOOKUP(W442,ROLES!I:J,2,FALSE))</f>
        <v/>
      </c>
      <c r="Y442" s="95" t="e">
        <f t="shared" si="13"/>
        <v>#VALUE!</v>
      </c>
      <c r="Z442" s="6"/>
      <c r="AA442" s="6"/>
    </row>
    <row r="443" spans="1:27" ht="28.95" customHeight="1" x14ac:dyDescent="0.3">
      <c r="A443" s="91"/>
      <c r="B443" s="91"/>
      <c r="C443" s="80"/>
      <c r="D443" s="91"/>
      <c r="E443" s="80"/>
      <c r="F443" s="6"/>
      <c r="G443" s="6"/>
      <c r="H443" s="25"/>
      <c r="I443" s="133"/>
      <c r="J443" s="6"/>
      <c r="K443" s="6"/>
      <c r="L443" s="6"/>
      <c r="M443" s="6"/>
      <c r="N443" s="84"/>
      <c r="O443" s="80" t="str">
        <f>IF(N443="","",VLOOKUP(N443,ROLES!B:C,2,FALSE))</f>
        <v/>
      </c>
      <c r="P443" s="15"/>
      <c r="Q443" s="15"/>
      <c r="R443" s="16">
        <f t="shared" si="14"/>
        <v>0</v>
      </c>
      <c r="S443" s="16"/>
      <c r="T443" s="80" t="str">
        <f>IF(S443="","",VLOOKUP(S443,VALORACION!F:G,2,FALSE))</f>
        <v/>
      </c>
      <c r="U443" s="11"/>
      <c r="V443" s="80" t="str">
        <f>IF(U443="","",VLOOKUP(U443,ROLES!G:H,2,FALSE))</f>
        <v/>
      </c>
      <c r="W443" s="11"/>
      <c r="X443" s="80" t="str">
        <f>IF(W443="","",VLOOKUP(W443,ROLES!I:J,2,FALSE))</f>
        <v/>
      </c>
      <c r="Y443" s="95" t="e">
        <f t="shared" si="13"/>
        <v>#VALUE!</v>
      </c>
      <c r="Z443" s="6"/>
      <c r="AA443" s="6"/>
    </row>
    <row r="444" spans="1:27" ht="28.95" customHeight="1" x14ac:dyDescent="0.3">
      <c r="A444" s="91"/>
      <c r="B444" s="91"/>
      <c r="C444" s="80"/>
      <c r="D444" s="91"/>
      <c r="E444" s="80"/>
      <c r="F444" s="6"/>
      <c r="G444" s="6"/>
      <c r="H444" s="25"/>
      <c r="I444" s="133"/>
      <c r="J444" s="6"/>
      <c r="K444" s="6"/>
      <c r="L444" s="6"/>
      <c r="M444" s="6"/>
      <c r="N444" s="84"/>
      <c r="O444" s="80" t="str">
        <f>IF(N444="","",VLOOKUP(N444,ROLES!B:C,2,FALSE))</f>
        <v/>
      </c>
      <c r="P444" s="15"/>
      <c r="Q444" s="15"/>
      <c r="R444" s="16">
        <f t="shared" si="14"/>
        <v>0</v>
      </c>
      <c r="S444" s="16"/>
      <c r="T444" s="80" t="str">
        <f>IF(S444="","",VLOOKUP(S444,VALORACION!F:G,2,FALSE))</f>
        <v/>
      </c>
      <c r="U444" s="11"/>
      <c r="V444" s="80" t="str">
        <f>IF(U444="","",VLOOKUP(U444,ROLES!G:H,2,FALSE))</f>
        <v/>
      </c>
      <c r="W444" s="11"/>
      <c r="X444" s="80" t="str">
        <f>IF(W444="","",VLOOKUP(W444,ROLES!I:J,2,FALSE))</f>
        <v/>
      </c>
      <c r="Y444" s="95" t="e">
        <f t="shared" si="13"/>
        <v>#VALUE!</v>
      </c>
      <c r="Z444" s="6"/>
      <c r="AA444" s="6"/>
    </row>
    <row r="445" spans="1:27" ht="28.95" customHeight="1" x14ac:dyDescent="0.3">
      <c r="A445" s="91"/>
      <c r="B445" s="91"/>
      <c r="C445" s="80"/>
      <c r="D445" s="91"/>
      <c r="E445" s="80"/>
      <c r="F445" s="6"/>
      <c r="G445" s="6"/>
      <c r="H445" s="25"/>
      <c r="I445" s="133"/>
      <c r="J445" s="6"/>
      <c r="K445" s="6"/>
      <c r="L445" s="6"/>
      <c r="M445" s="6"/>
      <c r="N445" s="84"/>
      <c r="O445" s="80" t="str">
        <f>IF(N445="","",VLOOKUP(N445,ROLES!B:C,2,FALSE))</f>
        <v/>
      </c>
      <c r="P445" s="15"/>
      <c r="Q445" s="15"/>
      <c r="R445" s="16">
        <f t="shared" si="14"/>
        <v>0</v>
      </c>
      <c r="S445" s="16"/>
      <c r="T445" s="80" t="str">
        <f>IF(S445="","",VLOOKUP(S445,VALORACION!F:G,2,FALSE))</f>
        <v/>
      </c>
      <c r="U445" s="11"/>
      <c r="V445" s="80" t="str">
        <f>IF(U445="","",VLOOKUP(U445,ROLES!G:H,2,FALSE))</f>
        <v/>
      </c>
      <c r="W445" s="11"/>
      <c r="X445" s="80" t="str">
        <f>IF(W445="","",VLOOKUP(W445,ROLES!I:J,2,FALSE))</f>
        <v/>
      </c>
      <c r="Y445" s="95" t="e">
        <f t="shared" si="13"/>
        <v>#VALUE!</v>
      </c>
      <c r="Z445" s="6"/>
      <c r="AA445" s="6"/>
    </row>
    <row r="446" spans="1:27" ht="28.95" customHeight="1" x14ac:dyDescent="0.3">
      <c r="A446" s="91"/>
      <c r="B446" s="91"/>
      <c r="C446" s="80"/>
      <c r="D446" s="91"/>
      <c r="E446" s="80"/>
      <c r="F446" s="6"/>
      <c r="G446" s="6"/>
      <c r="H446" s="25"/>
      <c r="I446" s="133"/>
      <c r="J446" s="6"/>
      <c r="K446" s="6"/>
      <c r="L446" s="6"/>
      <c r="M446" s="6"/>
      <c r="N446" s="84"/>
      <c r="O446" s="80" t="str">
        <f>IF(N446="","",VLOOKUP(N446,ROLES!B:C,2,FALSE))</f>
        <v/>
      </c>
      <c r="P446" s="15"/>
      <c r="Q446" s="15"/>
      <c r="R446" s="16">
        <f t="shared" si="14"/>
        <v>0</v>
      </c>
      <c r="S446" s="16"/>
      <c r="T446" s="80" t="str">
        <f>IF(S446="","",VLOOKUP(S446,VALORACION!F:G,2,FALSE))</f>
        <v/>
      </c>
      <c r="U446" s="11"/>
      <c r="V446" s="80" t="str">
        <f>IF(U446="","",VLOOKUP(U446,ROLES!G:H,2,FALSE))</f>
        <v/>
      </c>
      <c r="W446" s="11"/>
      <c r="X446" s="80" t="str">
        <f>IF(W446="","",VLOOKUP(W446,ROLES!I:J,2,FALSE))</f>
        <v/>
      </c>
      <c r="Y446" s="95" t="e">
        <f t="shared" si="13"/>
        <v>#VALUE!</v>
      </c>
      <c r="Z446" s="6"/>
      <c r="AA446" s="6"/>
    </row>
    <row r="447" spans="1:27" ht="28.95" customHeight="1" x14ac:dyDescent="0.3">
      <c r="A447" s="91"/>
      <c r="B447" s="91"/>
      <c r="C447" s="80"/>
      <c r="D447" s="91"/>
      <c r="E447" s="80"/>
      <c r="F447" s="6"/>
      <c r="G447" s="6"/>
      <c r="H447" s="25"/>
      <c r="I447" s="133"/>
      <c r="J447" s="6"/>
      <c r="K447" s="6"/>
      <c r="L447" s="6"/>
      <c r="M447" s="6"/>
      <c r="N447" s="84"/>
      <c r="O447" s="80" t="str">
        <f>IF(N447="","",VLOOKUP(N447,ROLES!B:C,2,FALSE))</f>
        <v/>
      </c>
      <c r="P447" s="15"/>
      <c r="Q447" s="15"/>
      <c r="R447" s="16">
        <f t="shared" si="14"/>
        <v>0</v>
      </c>
      <c r="S447" s="16"/>
      <c r="T447" s="80" t="str">
        <f>IF(S447="","",VLOOKUP(S447,VALORACION!F:G,2,FALSE))</f>
        <v/>
      </c>
      <c r="U447" s="11"/>
      <c r="V447" s="80" t="str">
        <f>IF(U447="","",VLOOKUP(U447,ROLES!G:H,2,FALSE))</f>
        <v/>
      </c>
      <c r="W447" s="11"/>
      <c r="X447" s="80" t="str">
        <f>IF(W447="","",VLOOKUP(W447,ROLES!I:J,2,FALSE))</f>
        <v/>
      </c>
      <c r="Y447" s="95" t="e">
        <f t="shared" si="13"/>
        <v>#VALUE!</v>
      </c>
      <c r="Z447" s="6"/>
      <c r="AA447" s="6"/>
    </row>
    <row r="448" spans="1:27" ht="28.95" customHeight="1" x14ac:dyDescent="0.3">
      <c r="A448" s="91"/>
      <c r="B448" s="91"/>
      <c r="C448" s="80"/>
      <c r="D448" s="91"/>
      <c r="E448" s="80"/>
      <c r="F448" s="6"/>
      <c r="G448" s="6"/>
      <c r="H448" s="25"/>
      <c r="I448" s="133"/>
      <c r="J448" s="6"/>
      <c r="K448" s="6"/>
      <c r="L448" s="6"/>
      <c r="M448" s="6"/>
      <c r="N448" s="84"/>
      <c r="O448" s="80" t="str">
        <f>IF(N448="","",VLOOKUP(N448,ROLES!B:C,2,FALSE))</f>
        <v/>
      </c>
      <c r="P448" s="15"/>
      <c r="Q448" s="15"/>
      <c r="R448" s="16">
        <f t="shared" si="14"/>
        <v>0</v>
      </c>
      <c r="S448" s="16"/>
      <c r="T448" s="80" t="str">
        <f>IF(S448="","",VLOOKUP(S448,VALORACION!F:G,2,FALSE))</f>
        <v/>
      </c>
      <c r="U448" s="11"/>
      <c r="V448" s="80" t="str">
        <f>IF(U448="","",VLOOKUP(U448,ROLES!G:H,2,FALSE))</f>
        <v/>
      </c>
      <c r="W448" s="11"/>
      <c r="X448" s="80" t="str">
        <f>IF(W448="","",VLOOKUP(W448,ROLES!I:J,2,FALSE))</f>
        <v/>
      </c>
      <c r="Y448" s="95" t="e">
        <f t="shared" si="13"/>
        <v>#VALUE!</v>
      </c>
      <c r="Z448" s="6"/>
      <c r="AA448" s="6"/>
    </row>
    <row r="449" spans="1:27" ht="28.95" customHeight="1" x14ac:dyDescent="0.3">
      <c r="A449" s="91"/>
      <c r="B449" s="91"/>
      <c r="C449" s="80"/>
      <c r="D449" s="91"/>
      <c r="E449" s="80"/>
      <c r="F449" s="6"/>
      <c r="G449" s="6"/>
      <c r="H449" s="25"/>
      <c r="I449" s="133"/>
      <c r="J449" s="6"/>
      <c r="K449" s="6"/>
      <c r="L449" s="6"/>
      <c r="M449" s="6"/>
      <c r="N449" s="84"/>
      <c r="O449" s="80" t="str">
        <f>IF(N449="","",VLOOKUP(N449,ROLES!B:C,2,FALSE))</f>
        <v/>
      </c>
      <c r="P449" s="15"/>
      <c r="Q449" s="15"/>
      <c r="R449" s="16">
        <f t="shared" si="14"/>
        <v>0</v>
      </c>
      <c r="S449" s="16"/>
      <c r="T449" s="80" t="str">
        <f>IF(S449="","",VLOOKUP(S449,VALORACION!F:G,2,FALSE))</f>
        <v/>
      </c>
      <c r="U449" s="11"/>
      <c r="V449" s="80" t="str">
        <f>IF(U449="","",VLOOKUP(U449,ROLES!G:H,2,FALSE))</f>
        <v/>
      </c>
      <c r="W449" s="11"/>
      <c r="X449" s="80" t="str">
        <f>IF(W449="","",VLOOKUP(W449,ROLES!I:J,2,FALSE))</f>
        <v/>
      </c>
      <c r="Y449" s="95" t="e">
        <f t="shared" si="13"/>
        <v>#VALUE!</v>
      </c>
      <c r="Z449" s="6"/>
      <c r="AA449" s="6"/>
    </row>
    <row r="450" spans="1:27" ht="28.95" customHeight="1" x14ac:dyDescent="0.3">
      <c r="A450" s="91"/>
      <c r="B450" s="91"/>
      <c r="C450" s="80"/>
      <c r="D450" s="91"/>
      <c r="E450" s="80"/>
      <c r="F450" s="6"/>
      <c r="G450" s="6"/>
      <c r="H450" s="25"/>
      <c r="I450" s="133"/>
      <c r="J450" s="6"/>
      <c r="K450" s="6"/>
      <c r="L450" s="6"/>
      <c r="M450" s="6"/>
      <c r="N450" s="84"/>
      <c r="O450" s="80" t="str">
        <f>IF(N450="","",VLOOKUP(N450,ROLES!B:C,2,FALSE))</f>
        <v/>
      </c>
      <c r="P450" s="15"/>
      <c r="Q450" s="15"/>
      <c r="R450" s="16">
        <f t="shared" si="14"/>
        <v>0</v>
      </c>
      <c r="S450" s="16"/>
      <c r="T450" s="80" t="str">
        <f>IF(S450="","",VLOOKUP(S450,VALORACION!F:G,2,FALSE))</f>
        <v/>
      </c>
      <c r="U450" s="11"/>
      <c r="V450" s="80" t="str">
        <f>IF(U450="","",VLOOKUP(U450,ROLES!G:H,2,FALSE))</f>
        <v/>
      </c>
      <c r="W450" s="11"/>
      <c r="X450" s="80" t="str">
        <f>IF(W450="","",VLOOKUP(W450,ROLES!I:J,2,FALSE))</f>
        <v/>
      </c>
      <c r="Y450" s="95" t="e">
        <f t="shared" si="13"/>
        <v>#VALUE!</v>
      </c>
      <c r="Z450" s="6"/>
      <c r="AA450" s="6"/>
    </row>
    <row r="451" spans="1:27" ht="28.95" customHeight="1" x14ac:dyDescent="0.3">
      <c r="A451" s="91"/>
      <c r="B451" s="91"/>
      <c r="C451" s="80"/>
      <c r="D451" s="91"/>
      <c r="E451" s="80"/>
      <c r="F451" s="6"/>
      <c r="G451" s="6"/>
      <c r="H451" s="25"/>
      <c r="I451" s="133"/>
      <c r="J451" s="6"/>
      <c r="K451" s="6"/>
      <c r="L451" s="6"/>
      <c r="M451" s="6"/>
      <c r="N451" s="84"/>
      <c r="O451" s="80" t="str">
        <f>IF(N451="","",VLOOKUP(N451,ROLES!B:C,2,FALSE))</f>
        <v/>
      </c>
      <c r="P451" s="15"/>
      <c r="Q451" s="15"/>
      <c r="R451" s="16">
        <f t="shared" si="14"/>
        <v>0</v>
      </c>
      <c r="S451" s="16"/>
      <c r="T451" s="80" t="str">
        <f>IF(S451="","",VLOOKUP(S451,VALORACION!F:G,2,FALSE))</f>
        <v/>
      </c>
      <c r="U451" s="11"/>
      <c r="V451" s="80" t="str">
        <f>IF(U451="","",VLOOKUP(U451,ROLES!G:H,2,FALSE))</f>
        <v/>
      </c>
      <c r="W451" s="11"/>
      <c r="X451" s="80" t="str">
        <f>IF(W451="","",VLOOKUP(W451,ROLES!I:J,2,FALSE))</f>
        <v/>
      </c>
      <c r="Y451" s="95" t="e">
        <f t="shared" si="13"/>
        <v>#VALUE!</v>
      </c>
      <c r="Z451" s="6"/>
      <c r="AA451" s="6"/>
    </row>
    <row r="452" spans="1:27" ht="28.95" customHeight="1" x14ac:dyDescent="0.3">
      <c r="A452" s="91"/>
      <c r="B452" s="91"/>
      <c r="C452" s="80"/>
      <c r="D452" s="91"/>
      <c r="E452" s="80"/>
      <c r="F452" s="6"/>
      <c r="G452" s="6"/>
      <c r="H452" s="25"/>
      <c r="I452" s="133"/>
      <c r="J452" s="6"/>
      <c r="K452" s="6"/>
      <c r="L452" s="6"/>
      <c r="M452" s="6"/>
      <c r="N452" s="84"/>
      <c r="O452" s="80" t="str">
        <f>IF(N452="","",VLOOKUP(N452,ROLES!B:C,2,FALSE))</f>
        <v/>
      </c>
      <c r="P452" s="15"/>
      <c r="Q452" s="15"/>
      <c r="R452" s="16">
        <f t="shared" si="14"/>
        <v>0</v>
      </c>
      <c r="S452" s="16"/>
      <c r="T452" s="80" t="str">
        <f>IF(S452="","",VLOOKUP(S452,VALORACION!F:G,2,FALSE))</f>
        <v/>
      </c>
      <c r="U452" s="11"/>
      <c r="V452" s="80" t="str">
        <f>IF(U452="","",VLOOKUP(U452,ROLES!G:H,2,FALSE))</f>
        <v/>
      </c>
      <c r="W452" s="11"/>
      <c r="X452" s="80" t="str">
        <f>IF(W452="","",VLOOKUP(W452,ROLES!I:J,2,FALSE))</f>
        <v/>
      </c>
      <c r="Y452" s="95" t="e">
        <f t="shared" si="13"/>
        <v>#VALUE!</v>
      </c>
      <c r="Z452" s="6"/>
      <c r="AA452" s="6"/>
    </row>
    <row r="453" spans="1:27" ht="28.95" customHeight="1" x14ac:dyDescent="0.3">
      <c r="A453" s="91"/>
      <c r="B453" s="91"/>
      <c r="C453" s="80"/>
      <c r="D453" s="91"/>
      <c r="E453" s="80"/>
      <c r="F453" s="6"/>
      <c r="G453" s="6"/>
      <c r="H453" s="25"/>
      <c r="I453" s="133"/>
      <c r="J453" s="6"/>
      <c r="K453" s="6"/>
      <c r="L453" s="6"/>
      <c r="M453" s="6"/>
      <c r="N453" s="84"/>
      <c r="O453" s="80" t="str">
        <f>IF(N453="","",VLOOKUP(N453,ROLES!B:C,2,FALSE))</f>
        <v/>
      </c>
      <c r="P453" s="15"/>
      <c r="Q453" s="15"/>
      <c r="R453" s="16">
        <f t="shared" si="14"/>
        <v>0</v>
      </c>
      <c r="S453" s="16"/>
      <c r="T453" s="80" t="str">
        <f>IF(S453="","",VLOOKUP(S453,VALORACION!F:G,2,FALSE))</f>
        <v/>
      </c>
      <c r="U453" s="11"/>
      <c r="V453" s="80" t="str">
        <f>IF(U453="","",VLOOKUP(U453,ROLES!G:H,2,FALSE))</f>
        <v/>
      </c>
      <c r="W453" s="11"/>
      <c r="X453" s="80" t="str">
        <f>IF(W453="","",VLOOKUP(W453,ROLES!I:J,2,FALSE))</f>
        <v/>
      </c>
      <c r="Y453" s="95" t="e">
        <f t="shared" ref="Y453:Y516" si="15">(VALUE(O453)+VALUE(V453)+VALUE(X453)+VALUE(T453))/3</f>
        <v>#VALUE!</v>
      </c>
      <c r="Z453" s="6"/>
      <c r="AA453" s="6"/>
    </row>
    <row r="454" spans="1:27" ht="28.95" customHeight="1" x14ac:dyDescent="0.3">
      <c r="A454" s="91"/>
      <c r="B454" s="91"/>
      <c r="C454" s="80"/>
      <c r="D454" s="91"/>
      <c r="E454" s="80"/>
      <c r="F454" s="6"/>
      <c r="G454" s="6"/>
      <c r="H454" s="25"/>
      <c r="I454" s="133"/>
      <c r="J454" s="6"/>
      <c r="K454" s="6"/>
      <c r="L454" s="6"/>
      <c r="M454" s="6"/>
      <c r="N454" s="84"/>
      <c r="O454" s="80" t="str">
        <f>IF(N454="","",VLOOKUP(N454,ROLES!B:C,2,FALSE))</f>
        <v/>
      </c>
      <c r="P454" s="15"/>
      <c r="Q454" s="15"/>
      <c r="R454" s="16">
        <f t="shared" si="14"/>
        <v>0</v>
      </c>
      <c r="S454" s="16"/>
      <c r="T454" s="80" t="str">
        <f>IF(S454="","",VLOOKUP(S454,VALORACION!F:G,2,FALSE))</f>
        <v/>
      </c>
      <c r="U454" s="11"/>
      <c r="V454" s="80" t="str">
        <f>IF(U454="","",VLOOKUP(U454,ROLES!G:H,2,FALSE))</f>
        <v/>
      </c>
      <c r="W454" s="11"/>
      <c r="X454" s="80" t="str">
        <f>IF(W454="","",VLOOKUP(W454,ROLES!I:J,2,FALSE))</f>
        <v/>
      </c>
      <c r="Y454" s="95" t="e">
        <f t="shared" si="15"/>
        <v>#VALUE!</v>
      </c>
      <c r="Z454" s="6"/>
      <c r="AA454" s="6"/>
    </row>
    <row r="455" spans="1:27" ht="28.95" customHeight="1" x14ac:dyDescent="0.3">
      <c r="A455" s="91"/>
      <c r="B455" s="91"/>
      <c r="C455" s="80"/>
      <c r="D455" s="91"/>
      <c r="E455" s="80"/>
      <c r="F455" s="6"/>
      <c r="G455" s="6"/>
      <c r="H455" s="25"/>
      <c r="I455" s="133"/>
      <c r="J455" s="6"/>
      <c r="K455" s="6"/>
      <c r="L455" s="6"/>
      <c r="M455" s="6"/>
      <c r="N455" s="84"/>
      <c r="O455" s="80" t="str">
        <f>IF(N455="","",VLOOKUP(N455,ROLES!B:C,2,FALSE))</f>
        <v/>
      </c>
      <c r="P455" s="15"/>
      <c r="Q455" s="15"/>
      <c r="R455" s="16">
        <f t="shared" ref="R455:R518" si="16">DATEDIF(P455,Q455,"m")</f>
        <v>0</v>
      </c>
      <c r="S455" s="16"/>
      <c r="T455" s="80" t="str">
        <f>IF(S455="","",VLOOKUP(S455,VALORACION!F:G,2,FALSE))</f>
        <v/>
      </c>
      <c r="U455" s="11"/>
      <c r="V455" s="80" t="str">
        <f>IF(U455="","",VLOOKUP(U455,ROLES!G:H,2,FALSE))</f>
        <v/>
      </c>
      <c r="W455" s="11"/>
      <c r="X455" s="80" t="str">
        <f>IF(W455="","",VLOOKUP(W455,ROLES!I:J,2,FALSE))</f>
        <v/>
      </c>
      <c r="Y455" s="95" t="e">
        <f t="shared" si="15"/>
        <v>#VALUE!</v>
      </c>
      <c r="Z455" s="6"/>
      <c r="AA455" s="6"/>
    </row>
    <row r="456" spans="1:27" ht="28.95" customHeight="1" x14ac:dyDescent="0.3">
      <c r="A456" s="91"/>
      <c r="B456" s="91"/>
      <c r="C456" s="80"/>
      <c r="D456" s="91"/>
      <c r="E456" s="80"/>
      <c r="F456" s="6"/>
      <c r="G456" s="6"/>
      <c r="H456" s="25"/>
      <c r="I456" s="133"/>
      <c r="J456" s="6"/>
      <c r="K456" s="6"/>
      <c r="L456" s="6"/>
      <c r="M456" s="6"/>
      <c r="N456" s="84"/>
      <c r="O456" s="80" t="str">
        <f>IF(N456="","",VLOOKUP(N456,ROLES!B:C,2,FALSE))</f>
        <v/>
      </c>
      <c r="P456" s="15"/>
      <c r="Q456" s="15"/>
      <c r="R456" s="16">
        <f t="shared" si="16"/>
        <v>0</v>
      </c>
      <c r="S456" s="16"/>
      <c r="T456" s="80" t="str">
        <f>IF(S456="","",VLOOKUP(S456,VALORACION!F:G,2,FALSE))</f>
        <v/>
      </c>
      <c r="U456" s="11"/>
      <c r="V456" s="80" t="str">
        <f>IF(U456="","",VLOOKUP(U456,ROLES!G:H,2,FALSE))</f>
        <v/>
      </c>
      <c r="W456" s="11"/>
      <c r="X456" s="80" t="str">
        <f>IF(W456="","",VLOOKUP(W456,ROLES!I:J,2,FALSE))</f>
        <v/>
      </c>
      <c r="Y456" s="95" t="e">
        <f t="shared" si="15"/>
        <v>#VALUE!</v>
      </c>
      <c r="Z456" s="6"/>
      <c r="AA456" s="6"/>
    </row>
    <row r="457" spans="1:27" ht="28.95" customHeight="1" x14ac:dyDescent="0.3">
      <c r="A457" s="91"/>
      <c r="B457" s="91"/>
      <c r="C457" s="80"/>
      <c r="D457" s="91"/>
      <c r="E457" s="80"/>
      <c r="F457" s="6"/>
      <c r="G457" s="6"/>
      <c r="H457" s="25"/>
      <c r="I457" s="133"/>
      <c r="J457" s="6"/>
      <c r="K457" s="6"/>
      <c r="L457" s="6"/>
      <c r="M457" s="6"/>
      <c r="N457" s="84"/>
      <c r="O457" s="80" t="str">
        <f>IF(N457="","",VLOOKUP(N457,ROLES!B:C,2,FALSE))</f>
        <v/>
      </c>
      <c r="P457" s="15"/>
      <c r="Q457" s="15"/>
      <c r="R457" s="16">
        <f t="shared" si="16"/>
        <v>0</v>
      </c>
      <c r="S457" s="16"/>
      <c r="T457" s="80" t="str">
        <f>IF(S457="","",VLOOKUP(S457,VALORACION!F:G,2,FALSE))</f>
        <v/>
      </c>
      <c r="U457" s="11"/>
      <c r="V457" s="80" t="str">
        <f>IF(U457="","",VLOOKUP(U457,ROLES!G:H,2,FALSE))</f>
        <v/>
      </c>
      <c r="W457" s="11"/>
      <c r="X457" s="80" t="str">
        <f>IF(W457="","",VLOOKUP(W457,ROLES!I:J,2,FALSE))</f>
        <v/>
      </c>
      <c r="Y457" s="95" t="e">
        <f t="shared" si="15"/>
        <v>#VALUE!</v>
      </c>
      <c r="Z457" s="6"/>
      <c r="AA457" s="6"/>
    </row>
    <row r="458" spans="1:27" ht="28.95" customHeight="1" x14ac:dyDescent="0.3">
      <c r="A458" s="91"/>
      <c r="B458" s="91"/>
      <c r="C458" s="80"/>
      <c r="D458" s="91"/>
      <c r="E458" s="80"/>
      <c r="F458" s="6"/>
      <c r="G458" s="6"/>
      <c r="H458" s="25"/>
      <c r="I458" s="133"/>
      <c r="J458" s="6"/>
      <c r="K458" s="6"/>
      <c r="L458" s="6"/>
      <c r="M458" s="6"/>
      <c r="N458" s="84"/>
      <c r="O458" s="80" t="str">
        <f>IF(N458="","",VLOOKUP(N458,ROLES!B:C,2,FALSE))</f>
        <v/>
      </c>
      <c r="P458" s="15"/>
      <c r="Q458" s="15"/>
      <c r="R458" s="16">
        <f t="shared" si="16"/>
        <v>0</v>
      </c>
      <c r="S458" s="16"/>
      <c r="T458" s="80" t="str">
        <f>IF(S458="","",VLOOKUP(S458,VALORACION!F:G,2,FALSE))</f>
        <v/>
      </c>
      <c r="U458" s="11"/>
      <c r="V458" s="80" t="str">
        <f>IF(U458="","",VLOOKUP(U458,ROLES!G:H,2,FALSE))</f>
        <v/>
      </c>
      <c r="W458" s="11"/>
      <c r="X458" s="80" t="str">
        <f>IF(W458="","",VLOOKUP(W458,ROLES!I:J,2,FALSE))</f>
        <v/>
      </c>
      <c r="Y458" s="95" t="e">
        <f t="shared" si="15"/>
        <v>#VALUE!</v>
      </c>
      <c r="Z458" s="6"/>
      <c r="AA458" s="6"/>
    </row>
    <row r="459" spans="1:27" ht="28.95" customHeight="1" x14ac:dyDescent="0.3">
      <c r="A459" s="91"/>
      <c r="B459" s="91"/>
      <c r="C459" s="80"/>
      <c r="D459" s="91"/>
      <c r="E459" s="80"/>
      <c r="F459" s="6"/>
      <c r="G459" s="6"/>
      <c r="H459" s="25"/>
      <c r="I459" s="133"/>
      <c r="J459" s="6"/>
      <c r="K459" s="6"/>
      <c r="L459" s="6"/>
      <c r="M459" s="6"/>
      <c r="N459" s="84"/>
      <c r="O459" s="80" t="str">
        <f>IF(N459="","",VLOOKUP(N459,ROLES!B:C,2,FALSE))</f>
        <v/>
      </c>
      <c r="P459" s="15"/>
      <c r="Q459" s="15"/>
      <c r="R459" s="16">
        <f t="shared" si="16"/>
        <v>0</v>
      </c>
      <c r="S459" s="16"/>
      <c r="T459" s="80" t="str">
        <f>IF(S459="","",VLOOKUP(S459,VALORACION!F:G,2,FALSE))</f>
        <v/>
      </c>
      <c r="U459" s="11"/>
      <c r="V459" s="80" t="str">
        <f>IF(U459="","",VLOOKUP(U459,ROLES!G:H,2,FALSE))</f>
        <v/>
      </c>
      <c r="W459" s="11"/>
      <c r="X459" s="80" t="str">
        <f>IF(W459="","",VLOOKUP(W459,ROLES!I:J,2,FALSE))</f>
        <v/>
      </c>
      <c r="Y459" s="95" t="e">
        <f t="shared" si="15"/>
        <v>#VALUE!</v>
      </c>
      <c r="Z459" s="6"/>
      <c r="AA459" s="6"/>
    </row>
    <row r="460" spans="1:27" ht="28.95" customHeight="1" x14ac:dyDescent="0.3">
      <c r="A460" s="91"/>
      <c r="B460" s="91"/>
      <c r="C460" s="80"/>
      <c r="D460" s="91"/>
      <c r="E460" s="80"/>
      <c r="F460" s="6"/>
      <c r="G460" s="6"/>
      <c r="H460" s="25"/>
      <c r="I460" s="133"/>
      <c r="J460" s="6"/>
      <c r="K460" s="6"/>
      <c r="L460" s="6"/>
      <c r="M460" s="6"/>
      <c r="N460" s="84"/>
      <c r="O460" s="80" t="str">
        <f>IF(N460="","",VLOOKUP(N460,ROLES!B:C,2,FALSE))</f>
        <v/>
      </c>
      <c r="P460" s="15"/>
      <c r="Q460" s="15"/>
      <c r="R460" s="16">
        <f t="shared" si="16"/>
        <v>0</v>
      </c>
      <c r="S460" s="16"/>
      <c r="T460" s="80" t="str">
        <f>IF(S460="","",VLOOKUP(S460,VALORACION!F:G,2,FALSE))</f>
        <v/>
      </c>
      <c r="U460" s="11"/>
      <c r="V460" s="80" t="str">
        <f>IF(U460="","",VLOOKUP(U460,ROLES!G:H,2,FALSE))</f>
        <v/>
      </c>
      <c r="W460" s="11"/>
      <c r="X460" s="80" t="str">
        <f>IF(W460="","",VLOOKUP(W460,ROLES!I:J,2,FALSE))</f>
        <v/>
      </c>
      <c r="Y460" s="95" t="e">
        <f t="shared" si="15"/>
        <v>#VALUE!</v>
      </c>
      <c r="Z460" s="6"/>
      <c r="AA460" s="6"/>
    </row>
    <row r="461" spans="1:27" ht="28.95" customHeight="1" x14ac:dyDescent="0.3">
      <c r="A461" s="91"/>
      <c r="B461" s="91"/>
      <c r="C461" s="80"/>
      <c r="D461" s="91"/>
      <c r="E461" s="80"/>
      <c r="F461" s="6"/>
      <c r="G461" s="6"/>
      <c r="H461" s="25"/>
      <c r="I461" s="133"/>
      <c r="J461" s="6"/>
      <c r="K461" s="6"/>
      <c r="L461" s="6"/>
      <c r="M461" s="6"/>
      <c r="N461" s="84"/>
      <c r="O461" s="80" t="str">
        <f>IF(N461="","",VLOOKUP(N461,ROLES!B:C,2,FALSE))</f>
        <v/>
      </c>
      <c r="P461" s="15"/>
      <c r="Q461" s="15"/>
      <c r="R461" s="16">
        <f t="shared" si="16"/>
        <v>0</v>
      </c>
      <c r="S461" s="16"/>
      <c r="T461" s="80" t="str">
        <f>IF(S461="","",VLOOKUP(S461,VALORACION!F:G,2,FALSE))</f>
        <v/>
      </c>
      <c r="U461" s="11"/>
      <c r="V461" s="80" t="str">
        <f>IF(U461="","",VLOOKUP(U461,ROLES!G:H,2,FALSE))</f>
        <v/>
      </c>
      <c r="W461" s="11"/>
      <c r="X461" s="80" t="str">
        <f>IF(W461="","",VLOOKUP(W461,ROLES!I:J,2,FALSE))</f>
        <v/>
      </c>
      <c r="Y461" s="95" t="e">
        <f t="shared" si="15"/>
        <v>#VALUE!</v>
      </c>
      <c r="Z461" s="6"/>
      <c r="AA461" s="6"/>
    </row>
    <row r="462" spans="1:27" ht="28.95" customHeight="1" x14ac:dyDescent="0.3">
      <c r="A462" s="91"/>
      <c r="B462" s="91"/>
      <c r="C462" s="80"/>
      <c r="D462" s="91"/>
      <c r="E462" s="80"/>
      <c r="F462" s="6"/>
      <c r="G462" s="6"/>
      <c r="H462" s="25"/>
      <c r="I462" s="133"/>
      <c r="J462" s="6"/>
      <c r="K462" s="6"/>
      <c r="L462" s="6"/>
      <c r="M462" s="6"/>
      <c r="N462" s="84"/>
      <c r="O462" s="80" t="str">
        <f>IF(N462="","",VLOOKUP(N462,ROLES!B:C,2,FALSE))</f>
        <v/>
      </c>
      <c r="P462" s="15"/>
      <c r="Q462" s="15"/>
      <c r="R462" s="16">
        <f t="shared" si="16"/>
        <v>0</v>
      </c>
      <c r="S462" s="16"/>
      <c r="T462" s="80" t="str">
        <f>IF(S462="","",VLOOKUP(S462,VALORACION!F:G,2,FALSE))</f>
        <v/>
      </c>
      <c r="U462" s="11"/>
      <c r="V462" s="80" t="str">
        <f>IF(U462="","",VLOOKUP(U462,ROLES!G:H,2,FALSE))</f>
        <v/>
      </c>
      <c r="W462" s="11"/>
      <c r="X462" s="80" t="str">
        <f>IF(W462="","",VLOOKUP(W462,ROLES!I:J,2,FALSE))</f>
        <v/>
      </c>
      <c r="Y462" s="95" t="e">
        <f t="shared" si="15"/>
        <v>#VALUE!</v>
      </c>
      <c r="Z462" s="6"/>
      <c r="AA462" s="6"/>
    </row>
    <row r="463" spans="1:27" ht="28.95" customHeight="1" x14ac:dyDescent="0.3">
      <c r="A463" s="91"/>
      <c r="B463" s="91"/>
      <c r="C463" s="80"/>
      <c r="D463" s="91"/>
      <c r="E463" s="80"/>
      <c r="F463" s="6"/>
      <c r="G463" s="6"/>
      <c r="H463" s="25"/>
      <c r="I463" s="133"/>
      <c r="J463" s="6"/>
      <c r="K463" s="6"/>
      <c r="L463" s="6"/>
      <c r="M463" s="6"/>
      <c r="N463" s="84"/>
      <c r="O463" s="80" t="str">
        <f>IF(N463="","",VLOOKUP(N463,ROLES!B:C,2,FALSE))</f>
        <v/>
      </c>
      <c r="P463" s="15"/>
      <c r="Q463" s="15"/>
      <c r="R463" s="16">
        <f t="shared" si="16"/>
        <v>0</v>
      </c>
      <c r="S463" s="16"/>
      <c r="T463" s="80" t="str">
        <f>IF(S463="","",VLOOKUP(S463,VALORACION!F:G,2,FALSE))</f>
        <v/>
      </c>
      <c r="U463" s="11"/>
      <c r="V463" s="80" t="str">
        <f>IF(U463="","",VLOOKUP(U463,ROLES!G:H,2,FALSE))</f>
        <v/>
      </c>
      <c r="W463" s="11"/>
      <c r="X463" s="80" t="str">
        <f>IF(W463="","",VLOOKUP(W463,ROLES!I:J,2,FALSE))</f>
        <v/>
      </c>
      <c r="Y463" s="95" t="e">
        <f t="shared" si="15"/>
        <v>#VALUE!</v>
      </c>
      <c r="Z463" s="6"/>
      <c r="AA463" s="6"/>
    </row>
    <row r="464" spans="1:27" ht="28.95" customHeight="1" x14ac:dyDescent="0.3">
      <c r="A464" s="91"/>
      <c r="B464" s="91"/>
      <c r="C464" s="80"/>
      <c r="D464" s="91"/>
      <c r="E464" s="80"/>
      <c r="F464" s="6"/>
      <c r="G464" s="6"/>
      <c r="H464" s="25"/>
      <c r="I464" s="133"/>
      <c r="J464" s="6"/>
      <c r="K464" s="6"/>
      <c r="L464" s="6"/>
      <c r="M464" s="6"/>
      <c r="N464" s="84"/>
      <c r="O464" s="80" t="str">
        <f>IF(N464="","",VLOOKUP(N464,ROLES!B:C,2,FALSE))</f>
        <v/>
      </c>
      <c r="P464" s="15"/>
      <c r="Q464" s="15"/>
      <c r="R464" s="16">
        <f t="shared" si="16"/>
        <v>0</v>
      </c>
      <c r="S464" s="16"/>
      <c r="T464" s="80" t="str">
        <f>IF(S464="","",VLOOKUP(S464,VALORACION!F:G,2,FALSE))</f>
        <v/>
      </c>
      <c r="U464" s="11"/>
      <c r="V464" s="80" t="str">
        <f>IF(U464="","",VLOOKUP(U464,ROLES!G:H,2,FALSE))</f>
        <v/>
      </c>
      <c r="W464" s="11"/>
      <c r="X464" s="80" t="str">
        <f>IF(W464="","",VLOOKUP(W464,ROLES!I:J,2,FALSE))</f>
        <v/>
      </c>
      <c r="Y464" s="95" t="e">
        <f t="shared" si="15"/>
        <v>#VALUE!</v>
      </c>
      <c r="Z464" s="6"/>
      <c r="AA464" s="6"/>
    </row>
    <row r="465" spans="1:27" ht="28.95" customHeight="1" x14ac:dyDescent="0.3">
      <c r="A465" s="91"/>
      <c r="B465" s="91"/>
      <c r="C465" s="80"/>
      <c r="D465" s="91"/>
      <c r="E465" s="80"/>
      <c r="F465" s="6"/>
      <c r="G465" s="6"/>
      <c r="H465" s="25"/>
      <c r="I465" s="133"/>
      <c r="J465" s="6"/>
      <c r="K465" s="6"/>
      <c r="L465" s="6"/>
      <c r="M465" s="6"/>
      <c r="N465" s="84"/>
      <c r="O465" s="80" t="str">
        <f>IF(N465="","",VLOOKUP(N465,ROLES!B:C,2,FALSE))</f>
        <v/>
      </c>
      <c r="P465" s="15"/>
      <c r="Q465" s="15"/>
      <c r="R465" s="16">
        <f t="shared" si="16"/>
        <v>0</v>
      </c>
      <c r="S465" s="16"/>
      <c r="T465" s="80" t="str">
        <f>IF(S465="","",VLOOKUP(S465,VALORACION!F:G,2,FALSE))</f>
        <v/>
      </c>
      <c r="U465" s="11"/>
      <c r="V465" s="80" t="str">
        <f>IF(U465="","",VLOOKUP(U465,ROLES!G:H,2,FALSE))</f>
        <v/>
      </c>
      <c r="W465" s="11"/>
      <c r="X465" s="80" t="str">
        <f>IF(W465="","",VLOOKUP(W465,ROLES!I:J,2,FALSE))</f>
        <v/>
      </c>
      <c r="Y465" s="95" t="e">
        <f t="shared" si="15"/>
        <v>#VALUE!</v>
      </c>
      <c r="Z465" s="6"/>
      <c r="AA465" s="6"/>
    </row>
    <row r="466" spans="1:27" ht="28.95" customHeight="1" x14ac:dyDescent="0.3">
      <c r="A466" s="91"/>
      <c r="B466" s="91"/>
      <c r="C466" s="80"/>
      <c r="D466" s="91"/>
      <c r="E466" s="80"/>
      <c r="F466" s="6"/>
      <c r="G466" s="6"/>
      <c r="H466" s="25"/>
      <c r="I466" s="133"/>
      <c r="J466" s="6"/>
      <c r="K466" s="6"/>
      <c r="L466" s="6"/>
      <c r="M466" s="6"/>
      <c r="N466" s="84"/>
      <c r="O466" s="80" t="str">
        <f>IF(N466="","",VLOOKUP(N466,ROLES!B:C,2,FALSE))</f>
        <v/>
      </c>
      <c r="P466" s="15"/>
      <c r="Q466" s="15"/>
      <c r="R466" s="16">
        <f t="shared" si="16"/>
        <v>0</v>
      </c>
      <c r="S466" s="16"/>
      <c r="T466" s="80" t="str">
        <f>IF(S466="","",VLOOKUP(S466,VALORACION!F:G,2,FALSE))</f>
        <v/>
      </c>
      <c r="U466" s="11"/>
      <c r="V466" s="80" t="str">
        <f>IF(U466="","",VLOOKUP(U466,ROLES!G:H,2,FALSE))</f>
        <v/>
      </c>
      <c r="W466" s="11"/>
      <c r="X466" s="80" t="str">
        <f>IF(W466="","",VLOOKUP(W466,ROLES!I:J,2,FALSE))</f>
        <v/>
      </c>
      <c r="Y466" s="95" t="e">
        <f t="shared" si="15"/>
        <v>#VALUE!</v>
      </c>
      <c r="Z466" s="6"/>
      <c r="AA466" s="6"/>
    </row>
    <row r="467" spans="1:27" ht="28.95" customHeight="1" x14ac:dyDescent="0.3">
      <c r="A467" s="91"/>
      <c r="B467" s="91"/>
      <c r="C467" s="80"/>
      <c r="D467" s="91"/>
      <c r="E467" s="80"/>
      <c r="F467" s="6"/>
      <c r="G467" s="6"/>
      <c r="H467" s="25"/>
      <c r="I467" s="133"/>
      <c r="J467" s="6"/>
      <c r="K467" s="6"/>
      <c r="L467" s="6"/>
      <c r="M467" s="6"/>
      <c r="N467" s="84"/>
      <c r="O467" s="80" t="str">
        <f>IF(N467="","",VLOOKUP(N467,ROLES!B:C,2,FALSE))</f>
        <v/>
      </c>
      <c r="P467" s="15"/>
      <c r="Q467" s="15"/>
      <c r="R467" s="16">
        <f t="shared" si="16"/>
        <v>0</v>
      </c>
      <c r="S467" s="16"/>
      <c r="T467" s="80" t="str">
        <f>IF(S467="","",VLOOKUP(S467,VALORACION!F:G,2,FALSE))</f>
        <v/>
      </c>
      <c r="U467" s="11"/>
      <c r="V467" s="80" t="str">
        <f>IF(U467="","",VLOOKUP(U467,ROLES!G:H,2,FALSE))</f>
        <v/>
      </c>
      <c r="W467" s="11"/>
      <c r="X467" s="80" t="str">
        <f>IF(W467="","",VLOOKUP(W467,ROLES!I:J,2,FALSE))</f>
        <v/>
      </c>
      <c r="Y467" s="95" t="e">
        <f t="shared" si="15"/>
        <v>#VALUE!</v>
      </c>
      <c r="Z467" s="6"/>
      <c r="AA467" s="6"/>
    </row>
    <row r="468" spans="1:27" ht="28.95" customHeight="1" x14ac:dyDescent="0.3">
      <c r="A468" s="91"/>
      <c r="B468" s="91"/>
      <c r="C468" s="80"/>
      <c r="D468" s="91"/>
      <c r="E468" s="80"/>
      <c r="F468" s="6"/>
      <c r="G468" s="6"/>
      <c r="H468" s="25"/>
      <c r="I468" s="133"/>
      <c r="J468" s="6"/>
      <c r="K468" s="6"/>
      <c r="L468" s="6"/>
      <c r="M468" s="6"/>
      <c r="N468" s="84"/>
      <c r="O468" s="80" t="str">
        <f>IF(N468="","",VLOOKUP(N468,ROLES!B:C,2,FALSE))</f>
        <v/>
      </c>
      <c r="P468" s="15"/>
      <c r="Q468" s="15"/>
      <c r="R468" s="16">
        <f t="shared" si="16"/>
        <v>0</v>
      </c>
      <c r="S468" s="16"/>
      <c r="T468" s="80" t="str">
        <f>IF(S468="","",VLOOKUP(S468,VALORACION!F:G,2,FALSE))</f>
        <v/>
      </c>
      <c r="U468" s="11"/>
      <c r="V468" s="80" t="str">
        <f>IF(U468="","",VLOOKUP(U468,ROLES!G:H,2,FALSE))</f>
        <v/>
      </c>
      <c r="W468" s="11"/>
      <c r="X468" s="80" t="str">
        <f>IF(W468="","",VLOOKUP(W468,ROLES!I:J,2,FALSE))</f>
        <v/>
      </c>
      <c r="Y468" s="95" t="e">
        <f t="shared" si="15"/>
        <v>#VALUE!</v>
      </c>
      <c r="Z468" s="6"/>
      <c r="AA468" s="6"/>
    </row>
    <row r="469" spans="1:27" ht="28.95" customHeight="1" x14ac:dyDescent="0.3">
      <c r="A469" s="91"/>
      <c r="B469" s="91"/>
      <c r="C469" s="80"/>
      <c r="D469" s="91"/>
      <c r="E469" s="80"/>
      <c r="F469" s="6"/>
      <c r="G469" s="6"/>
      <c r="H469" s="25"/>
      <c r="I469" s="133"/>
      <c r="J469" s="6"/>
      <c r="K469" s="6"/>
      <c r="L469" s="6"/>
      <c r="M469" s="6"/>
      <c r="N469" s="84"/>
      <c r="O469" s="80" t="str">
        <f>IF(N469="","",VLOOKUP(N469,ROLES!B:C,2,FALSE))</f>
        <v/>
      </c>
      <c r="P469" s="15"/>
      <c r="Q469" s="15"/>
      <c r="R469" s="16">
        <f t="shared" si="16"/>
        <v>0</v>
      </c>
      <c r="S469" s="16"/>
      <c r="T469" s="80" t="str">
        <f>IF(S469="","",VLOOKUP(S469,VALORACION!F:G,2,FALSE))</f>
        <v/>
      </c>
      <c r="U469" s="11"/>
      <c r="V469" s="80" t="str">
        <f>IF(U469="","",VLOOKUP(U469,ROLES!G:H,2,FALSE))</f>
        <v/>
      </c>
      <c r="W469" s="11"/>
      <c r="X469" s="80" t="str">
        <f>IF(W469="","",VLOOKUP(W469,ROLES!I:J,2,FALSE))</f>
        <v/>
      </c>
      <c r="Y469" s="95" t="e">
        <f t="shared" si="15"/>
        <v>#VALUE!</v>
      </c>
      <c r="Z469" s="6"/>
      <c r="AA469" s="6"/>
    </row>
    <row r="470" spans="1:27" ht="28.95" customHeight="1" x14ac:dyDescent="0.3">
      <c r="A470" s="91"/>
      <c r="B470" s="91"/>
      <c r="C470" s="80"/>
      <c r="D470" s="91"/>
      <c r="E470" s="80"/>
      <c r="F470" s="6"/>
      <c r="G470" s="6"/>
      <c r="H470" s="25"/>
      <c r="I470" s="133"/>
      <c r="J470" s="6"/>
      <c r="K470" s="6"/>
      <c r="L470" s="6"/>
      <c r="M470" s="6"/>
      <c r="N470" s="84"/>
      <c r="O470" s="80" t="str">
        <f>IF(N470="","",VLOOKUP(N470,ROLES!B:C,2,FALSE))</f>
        <v/>
      </c>
      <c r="P470" s="15"/>
      <c r="Q470" s="15"/>
      <c r="R470" s="16">
        <f t="shared" si="16"/>
        <v>0</v>
      </c>
      <c r="S470" s="16"/>
      <c r="T470" s="80" t="str">
        <f>IF(S470="","",VLOOKUP(S470,VALORACION!F:G,2,FALSE))</f>
        <v/>
      </c>
      <c r="U470" s="11"/>
      <c r="V470" s="80" t="str">
        <f>IF(U470="","",VLOOKUP(U470,ROLES!G:H,2,FALSE))</f>
        <v/>
      </c>
      <c r="W470" s="11"/>
      <c r="X470" s="80" t="str">
        <f>IF(W470="","",VLOOKUP(W470,ROLES!I:J,2,FALSE))</f>
        <v/>
      </c>
      <c r="Y470" s="95" t="e">
        <f t="shared" si="15"/>
        <v>#VALUE!</v>
      </c>
      <c r="Z470" s="6"/>
      <c r="AA470" s="6"/>
    </row>
    <row r="471" spans="1:27" ht="28.95" customHeight="1" x14ac:dyDescent="0.3">
      <c r="A471" s="91"/>
      <c r="B471" s="91"/>
      <c r="C471" s="80"/>
      <c r="D471" s="91"/>
      <c r="E471" s="80"/>
      <c r="F471" s="6"/>
      <c r="G471" s="6"/>
      <c r="H471" s="25"/>
      <c r="I471" s="133"/>
      <c r="J471" s="6"/>
      <c r="K471" s="6"/>
      <c r="L471" s="6"/>
      <c r="M471" s="6"/>
      <c r="N471" s="84"/>
      <c r="O471" s="80" t="str">
        <f>IF(N471="","",VLOOKUP(N471,ROLES!B:C,2,FALSE))</f>
        <v/>
      </c>
      <c r="P471" s="15"/>
      <c r="Q471" s="15"/>
      <c r="R471" s="16">
        <f t="shared" si="16"/>
        <v>0</v>
      </c>
      <c r="S471" s="16"/>
      <c r="T471" s="80" t="str">
        <f>IF(S471="","",VLOOKUP(S471,VALORACION!F:G,2,FALSE))</f>
        <v/>
      </c>
      <c r="U471" s="11"/>
      <c r="V471" s="80" t="str">
        <f>IF(U471="","",VLOOKUP(U471,ROLES!G:H,2,FALSE))</f>
        <v/>
      </c>
      <c r="W471" s="11"/>
      <c r="X471" s="80" t="str">
        <f>IF(W471="","",VLOOKUP(W471,ROLES!I:J,2,FALSE))</f>
        <v/>
      </c>
      <c r="Y471" s="95" t="e">
        <f t="shared" si="15"/>
        <v>#VALUE!</v>
      </c>
      <c r="Z471" s="6"/>
      <c r="AA471" s="6"/>
    </row>
    <row r="472" spans="1:27" ht="28.95" customHeight="1" x14ac:dyDescent="0.3">
      <c r="A472" s="91"/>
      <c r="B472" s="91"/>
      <c r="C472" s="80"/>
      <c r="D472" s="91"/>
      <c r="E472" s="80"/>
      <c r="F472" s="6"/>
      <c r="G472" s="6"/>
      <c r="H472" s="25"/>
      <c r="I472" s="133"/>
      <c r="J472" s="6"/>
      <c r="K472" s="6"/>
      <c r="L472" s="6"/>
      <c r="M472" s="6"/>
      <c r="N472" s="84"/>
      <c r="O472" s="80" t="str">
        <f>IF(N472="","",VLOOKUP(N472,ROLES!B:C,2,FALSE))</f>
        <v/>
      </c>
      <c r="P472" s="15"/>
      <c r="Q472" s="15"/>
      <c r="R472" s="16">
        <f t="shared" si="16"/>
        <v>0</v>
      </c>
      <c r="S472" s="16"/>
      <c r="T472" s="80" t="str">
        <f>IF(S472="","",VLOOKUP(S472,VALORACION!F:G,2,FALSE))</f>
        <v/>
      </c>
      <c r="U472" s="11"/>
      <c r="V472" s="80" t="str">
        <f>IF(U472="","",VLOOKUP(U472,ROLES!G:H,2,FALSE))</f>
        <v/>
      </c>
      <c r="W472" s="11"/>
      <c r="X472" s="80" t="str">
        <f>IF(W472="","",VLOOKUP(W472,ROLES!I:J,2,FALSE))</f>
        <v/>
      </c>
      <c r="Y472" s="95" t="e">
        <f t="shared" si="15"/>
        <v>#VALUE!</v>
      </c>
      <c r="Z472" s="6"/>
      <c r="AA472" s="6"/>
    </row>
    <row r="473" spans="1:27" ht="28.95" customHeight="1" x14ac:dyDescent="0.3">
      <c r="A473" s="91"/>
      <c r="B473" s="91"/>
      <c r="C473" s="80"/>
      <c r="D473" s="91"/>
      <c r="E473" s="80"/>
      <c r="F473" s="6"/>
      <c r="G473" s="6"/>
      <c r="H473" s="25"/>
      <c r="I473" s="133"/>
      <c r="J473" s="6"/>
      <c r="K473" s="6"/>
      <c r="L473" s="6"/>
      <c r="M473" s="6"/>
      <c r="N473" s="84"/>
      <c r="O473" s="80" t="str">
        <f>IF(N473="","",VLOOKUP(N473,ROLES!B:C,2,FALSE))</f>
        <v/>
      </c>
      <c r="P473" s="15"/>
      <c r="Q473" s="15"/>
      <c r="R473" s="16">
        <f t="shared" si="16"/>
        <v>0</v>
      </c>
      <c r="S473" s="16"/>
      <c r="T473" s="80" t="str">
        <f>IF(S473="","",VLOOKUP(S473,VALORACION!F:G,2,FALSE))</f>
        <v/>
      </c>
      <c r="U473" s="11"/>
      <c r="V473" s="80" t="str">
        <f>IF(U473="","",VLOOKUP(U473,ROLES!G:H,2,FALSE))</f>
        <v/>
      </c>
      <c r="W473" s="11"/>
      <c r="X473" s="80" t="str">
        <f>IF(W473="","",VLOOKUP(W473,ROLES!I:J,2,FALSE))</f>
        <v/>
      </c>
      <c r="Y473" s="95" t="e">
        <f t="shared" si="15"/>
        <v>#VALUE!</v>
      </c>
      <c r="Z473" s="6"/>
      <c r="AA473" s="6"/>
    </row>
    <row r="474" spans="1:27" ht="28.95" customHeight="1" x14ac:dyDescent="0.3">
      <c r="A474" s="91"/>
      <c r="B474" s="91"/>
      <c r="C474" s="80"/>
      <c r="D474" s="91"/>
      <c r="E474" s="80"/>
      <c r="F474" s="6"/>
      <c r="G474" s="6"/>
      <c r="H474" s="25"/>
      <c r="I474" s="133"/>
      <c r="J474" s="6"/>
      <c r="K474" s="6"/>
      <c r="L474" s="6"/>
      <c r="M474" s="6"/>
      <c r="N474" s="84"/>
      <c r="O474" s="80" t="str">
        <f>IF(N474="","",VLOOKUP(N474,ROLES!B:C,2,FALSE))</f>
        <v/>
      </c>
      <c r="P474" s="15"/>
      <c r="Q474" s="15"/>
      <c r="R474" s="16">
        <f t="shared" si="16"/>
        <v>0</v>
      </c>
      <c r="S474" s="16"/>
      <c r="T474" s="80" t="str">
        <f>IF(S474="","",VLOOKUP(S474,VALORACION!F:G,2,FALSE))</f>
        <v/>
      </c>
      <c r="U474" s="11"/>
      <c r="V474" s="80" t="str">
        <f>IF(U474="","",VLOOKUP(U474,ROLES!G:H,2,FALSE))</f>
        <v/>
      </c>
      <c r="W474" s="11"/>
      <c r="X474" s="80" t="str">
        <f>IF(W474="","",VLOOKUP(W474,ROLES!I:J,2,FALSE))</f>
        <v/>
      </c>
      <c r="Y474" s="95" t="e">
        <f t="shared" si="15"/>
        <v>#VALUE!</v>
      </c>
      <c r="Z474" s="6"/>
      <c r="AA474" s="6"/>
    </row>
    <row r="475" spans="1:27" ht="28.95" customHeight="1" x14ac:dyDescent="0.3">
      <c r="A475" s="91"/>
      <c r="B475" s="91"/>
      <c r="C475" s="80"/>
      <c r="D475" s="91"/>
      <c r="E475" s="80"/>
      <c r="F475" s="6"/>
      <c r="G475" s="6"/>
      <c r="H475" s="25"/>
      <c r="I475" s="133"/>
      <c r="J475" s="6"/>
      <c r="K475" s="6"/>
      <c r="L475" s="6"/>
      <c r="M475" s="6"/>
      <c r="N475" s="84"/>
      <c r="O475" s="80" t="str">
        <f>IF(N475="","",VLOOKUP(N475,ROLES!B:C,2,FALSE))</f>
        <v/>
      </c>
      <c r="P475" s="15"/>
      <c r="Q475" s="15"/>
      <c r="R475" s="16">
        <f t="shared" si="16"/>
        <v>0</v>
      </c>
      <c r="S475" s="16"/>
      <c r="T475" s="80" t="str">
        <f>IF(S475="","",VLOOKUP(S475,VALORACION!F:G,2,FALSE))</f>
        <v/>
      </c>
      <c r="U475" s="11"/>
      <c r="V475" s="80" t="str">
        <f>IF(U475="","",VLOOKUP(U475,ROLES!G:H,2,FALSE))</f>
        <v/>
      </c>
      <c r="W475" s="11"/>
      <c r="X475" s="80" t="str">
        <f>IF(W475="","",VLOOKUP(W475,ROLES!I:J,2,FALSE))</f>
        <v/>
      </c>
      <c r="Y475" s="95" t="e">
        <f t="shared" si="15"/>
        <v>#VALUE!</v>
      </c>
      <c r="Z475" s="6"/>
      <c r="AA475" s="6"/>
    </row>
    <row r="476" spans="1:27" ht="28.95" customHeight="1" x14ac:dyDescent="0.3">
      <c r="A476" s="91"/>
      <c r="B476" s="91"/>
      <c r="C476" s="80"/>
      <c r="D476" s="91"/>
      <c r="E476" s="80"/>
      <c r="F476" s="6"/>
      <c r="G476" s="6"/>
      <c r="H476" s="25"/>
      <c r="I476" s="133"/>
      <c r="J476" s="6"/>
      <c r="K476" s="6"/>
      <c r="L476" s="6"/>
      <c r="M476" s="6"/>
      <c r="N476" s="84"/>
      <c r="O476" s="80" t="str">
        <f>IF(N476="","",VLOOKUP(N476,ROLES!B:C,2,FALSE))</f>
        <v/>
      </c>
      <c r="P476" s="15"/>
      <c r="Q476" s="15"/>
      <c r="R476" s="16">
        <f t="shared" si="16"/>
        <v>0</v>
      </c>
      <c r="S476" s="16"/>
      <c r="T476" s="80" t="str">
        <f>IF(S476="","",VLOOKUP(S476,VALORACION!F:G,2,FALSE))</f>
        <v/>
      </c>
      <c r="U476" s="11"/>
      <c r="V476" s="80" t="str">
        <f>IF(U476="","",VLOOKUP(U476,ROLES!G:H,2,FALSE))</f>
        <v/>
      </c>
      <c r="W476" s="11"/>
      <c r="X476" s="80" t="str">
        <f>IF(W476="","",VLOOKUP(W476,ROLES!I:J,2,FALSE))</f>
        <v/>
      </c>
      <c r="Y476" s="95" t="e">
        <f t="shared" si="15"/>
        <v>#VALUE!</v>
      </c>
      <c r="Z476" s="6"/>
      <c r="AA476" s="6"/>
    </row>
    <row r="477" spans="1:27" ht="28.95" customHeight="1" x14ac:dyDescent="0.3">
      <c r="A477" s="91"/>
      <c r="B477" s="91"/>
      <c r="C477" s="80"/>
      <c r="D477" s="91"/>
      <c r="E477" s="80"/>
      <c r="F477" s="6"/>
      <c r="G477" s="6"/>
      <c r="H477" s="25"/>
      <c r="I477" s="133"/>
      <c r="J477" s="6"/>
      <c r="K477" s="6"/>
      <c r="L477" s="6"/>
      <c r="M477" s="6"/>
      <c r="N477" s="84"/>
      <c r="O477" s="80" t="str">
        <f>IF(N477="","",VLOOKUP(N477,ROLES!B:C,2,FALSE))</f>
        <v/>
      </c>
      <c r="P477" s="15"/>
      <c r="Q477" s="15"/>
      <c r="R477" s="16">
        <f t="shared" si="16"/>
        <v>0</v>
      </c>
      <c r="S477" s="16"/>
      <c r="T477" s="80" t="str">
        <f>IF(S477="","",VLOOKUP(S477,VALORACION!F:G,2,FALSE))</f>
        <v/>
      </c>
      <c r="U477" s="11"/>
      <c r="V477" s="80" t="str">
        <f>IF(U477="","",VLOOKUP(U477,ROLES!G:H,2,FALSE))</f>
        <v/>
      </c>
      <c r="W477" s="11"/>
      <c r="X477" s="80" t="str">
        <f>IF(W477="","",VLOOKUP(W477,ROLES!I:J,2,FALSE))</f>
        <v/>
      </c>
      <c r="Y477" s="95" t="e">
        <f t="shared" si="15"/>
        <v>#VALUE!</v>
      </c>
      <c r="Z477" s="6"/>
      <c r="AA477" s="6"/>
    </row>
    <row r="478" spans="1:27" ht="28.95" customHeight="1" x14ac:dyDescent="0.3">
      <c r="A478" s="91"/>
      <c r="B478" s="91"/>
      <c r="C478" s="80"/>
      <c r="D478" s="91"/>
      <c r="E478" s="80"/>
      <c r="F478" s="6"/>
      <c r="G478" s="6"/>
      <c r="H478" s="25"/>
      <c r="I478" s="133"/>
      <c r="J478" s="6"/>
      <c r="K478" s="6"/>
      <c r="L478" s="6"/>
      <c r="M478" s="6"/>
      <c r="N478" s="84"/>
      <c r="O478" s="80" t="str">
        <f>IF(N478="","",VLOOKUP(N478,ROLES!B:C,2,FALSE))</f>
        <v/>
      </c>
      <c r="P478" s="15"/>
      <c r="Q478" s="15"/>
      <c r="R478" s="16">
        <f t="shared" si="16"/>
        <v>0</v>
      </c>
      <c r="S478" s="16"/>
      <c r="T478" s="80" t="str">
        <f>IF(S478="","",VLOOKUP(S478,VALORACION!F:G,2,FALSE))</f>
        <v/>
      </c>
      <c r="U478" s="11"/>
      <c r="V478" s="80" t="str">
        <f>IF(U478="","",VLOOKUP(U478,ROLES!G:H,2,FALSE))</f>
        <v/>
      </c>
      <c r="W478" s="11"/>
      <c r="X478" s="80" t="str">
        <f>IF(W478="","",VLOOKUP(W478,ROLES!I:J,2,FALSE))</f>
        <v/>
      </c>
      <c r="Y478" s="95" t="e">
        <f t="shared" si="15"/>
        <v>#VALUE!</v>
      </c>
      <c r="Z478" s="6"/>
      <c r="AA478" s="6"/>
    </row>
    <row r="479" spans="1:27" ht="28.95" customHeight="1" x14ac:dyDescent="0.3">
      <c r="A479" s="91"/>
      <c r="B479" s="91"/>
      <c r="C479" s="80"/>
      <c r="D479" s="91"/>
      <c r="E479" s="80"/>
      <c r="F479" s="6"/>
      <c r="G479" s="6"/>
      <c r="H479" s="25"/>
      <c r="I479" s="133"/>
      <c r="J479" s="6"/>
      <c r="K479" s="6"/>
      <c r="L479" s="6"/>
      <c r="M479" s="6"/>
      <c r="N479" s="84"/>
      <c r="O479" s="80" t="str">
        <f>IF(N479="","",VLOOKUP(N479,ROLES!B:C,2,FALSE))</f>
        <v/>
      </c>
      <c r="P479" s="15"/>
      <c r="Q479" s="15"/>
      <c r="R479" s="16">
        <f t="shared" si="16"/>
        <v>0</v>
      </c>
      <c r="S479" s="16"/>
      <c r="T479" s="80" t="str">
        <f>IF(S479="","",VLOOKUP(S479,VALORACION!F:G,2,FALSE))</f>
        <v/>
      </c>
      <c r="U479" s="11"/>
      <c r="V479" s="80" t="str">
        <f>IF(U479="","",VLOOKUP(U479,ROLES!G:H,2,FALSE))</f>
        <v/>
      </c>
      <c r="W479" s="11"/>
      <c r="X479" s="80" t="str">
        <f>IF(W479="","",VLOOKUP(W479,ROLES!I:J,2,FALSE))</f>
        <v/>
      </c>
      <c r="Y479" s="95" t="e">
        <f t="shared" si="15"/>
        <v>#VALUE!</v>
      </c>
      <c r="Z479" s="6"/>
      <c r="AA479" s="6"/>
    </row>
    <row r="480" spans="1:27" ht="28.95" customHeight="1" x14ac:dyDescent="0.3">
      <c r="A480" s="91"/>
      <c r="B480" s="91"/>
      <c r="C480" s="80"/>
      <c r="D480" s="91"/>
      <c r="E480" s="80"/>
      <c r="F480" s="6"/>
      <c r="G480" s="6"/>
      <c r="H480" s="25"/>
      <c r="I480" s="133"/>
      <c r="J480" s="6"/>
      <c r="K480" s="6"/>
      <c r="L480" s="6"/>
      <c r="M480" s="6"/>
      <c r="N480" s="84"/>
      <c r="O480" s="80" t="str">
        <f>IF(N480="","",VLOOKUP(N480,ROLES!B:C,2,FALSE))</f>
        <v/>
      </c>
      <c r="P480" s="15"/>
      <c r="Q480" s="15"/>
      <c r="R480" s="16">
        <f t="shared" si="16"/>
        <v>0</v>
      </c>
      <c r="S480" s="16"/>
      <c r="T480" s="80" t="str">
        <f>IF(S480="","",VLOOKUP(S480,VALORACION!F:G,2,FALSE))</f>
        <v/>
      </c>
      <c r="U480" s="11"/>
      <c r="V480" s="80" t="str">
        <f>IF(U480="","",VLOOKUP(U480,ROLES!G:H,2,FALSE))</f>
        <v/>
      </c>
      <c r="W480" s="11"/>
      <c r="X480" s="80" t="str">
        <f>IF(W480="","",VLOOKUP(W480,ROLES!I:J,2,FALSE))</f>
        <v/>
      </c>
      <c r="Y480" s="95" t="e">
        <f t="shared" si="15"/>
        <v>#VALUE!</v>
      </c>
      <c r="Z480" s="6"/>
      <c r="AA480" s="6"/>
    </row>
    <row r="481" spans="1:27" ht="28.95" customHeight="1" x14ac:dyDescent="0.3">
      <c r="A481" s="91"/>
      <c r="B481" s="91"/>
      <c r="C481" s="80"/>
      <c r="D481" s="91"/>
      <c r="E481" s="80"/>
      <c r="F481" s="6"/>
      <c r="G481" s="6"/>
      <c r="H481" s="25"/>
      <c r="I481" s="133"/>
      <c r="J481" s="6"/>
      <c r="K481" s="6"/>
      <c r="L481" s="6"/>
      <c r="M481" s="6"/>
      <c r="N481" s="84"/>
      <c r="O481" s="80" t="str">
        <f>IF(N481="","",VLOOKUP(N481,ROLES!B:C,2,FALSE))</f>
        <v/>
      </c>
      <c r="P481" s="15"/>
      <c r="Q481" s="15"/>
      <c r="R481" s="16">
        <f t="shared" si="16"/>
        <v>0</v>
      </c>
      <c r="S481" s="16"/>
      <c r="T481" s="80" t="str">
        <f>IF(S481="","",VLOOKUP(S481,VALORACION!F:G,2,FALSE))</f>
        <v/>
      </c>
      <c r="U481" s="11"/>
      <c r="V481" s="80" t="str">
        <f>IF(U481="","",VLOOKUP(U481,ROLES!G:H,2,FALSE))</f>
        <v/>
      </c>
      <c r="W481" s="11"/>
      <c r="X481" s="80" t="str">
        <f>IF(W481="","",VLOOKUP(W481,ROLES!I:J,2,FALSE))</f>
        <v/>
      </c>
      <c r="Y481" s="95" t="e">
        <f t="shared" si="15"/>
        <v>#VALUE!</v>
      </c>
      <c r="Z481" s="6"/>
      <c r="AA481" s="6"/>
    </row>
    <row r="482" spans="1:27" ht="28.95" customHeight="1" x14ac:dyDescent="0.3">
      <c r="A482" s="91"/>
      <c r="B482" s="91"/>
      <c r="C482" s="80"/>
      <c r="D482" s="91"/>
      <c r="E482" s="80"/>
      <c r="F482" s="6"/>
      <c r="G482" s="6"/>
      <c r="H482" s="25"/>
      <c r="I482" s="133"/>
      <c r="J482" s="6"/>
      <c r="K482" s="6"/>
      <c r="L482" s="6"/>
      <c r="M482" s="6"/>
      <c r="N482" s="84"/>
      <c r="O482" s="80" t="str">
        <f>IF(N482="","",VLOOKUP(N482,ROLES!B:C,2,FALSE))</f>
        <v/>
      </c>
      <c r="P482" s="15"/>
      <c r="Q482" s="15"/>
      <c r="R482" s="16">
        <f t="shared" si="16"/>
        <v>0</v>
      </c>
      <c r="S482" s="16"/>
      <c r="T482" s="80" t="str">
        <f>IF(S482="","",VLOOKUP(S482,VALORACION!F:G,2,FALSE))</f>
        <v/>
      </c>
      <c r="U482" s="11"/>
      <c r="V482" s="80" t="str">
        <f>IF(U482="","",VLOOKUP(U482,ROLES!G:H,2,FALSE))</f>
        <v/>
      </c>
      <c r="W482" s="11"/>
      <c r="X482" s="80" t="str">
        <f>IF(W482="","",VLOOKUP(W482,ROLES!I:J,2,FALSE))</f>
        <v/>
      </c>
      <c r="Y482" s="95" t="e">
        <f t="shared" si="15"/>
        <v>#VALUE!</v>
      </c>
      <c r="Z482" s="6"/>
      <c r="AA482" s="6"/>
    </row>
    <row r="483" spans="1:27" ht="28.95" customHeight="1" x14ac:dyDescent="0.3">
      <c r="A483" s="91"/>
      <c r="B483" s="91"/>
      <c r="C483" s="80"/>
      <c r="D483" s="91"/>
      <c r="E483" s="80"/>
      <c r="F483" s="6"/>
      <c r="G483" s="6"/>
      <c r="H483" s="25"/>
      <c r="I483" s="133"/>
      <c r="J483" s="6"/>
      <c r="K483" s="6"/>
      <c r="L483" s="6"/>
      <c r="M483" s="6"/>
      <c r="N483" s="84"/>
      <c r="O483" s="80" t="str">
        <f>IF(N483="","",VLOOKUP(N483,ROLES!B:C,2,FALSE))</f>
        <v/>
      </c>
      <c r="P483" s="15"/>
      <c r="Q483" s="15"/>
      <c r="R483" s="16">
        <f t="shared" si="16"/>
        <v>0</v>
      </c>
      <c r="S483" s="16"/>
      <c r="T483" s="80" t="str">
        <f>IF(S483="","",VLOOKUP(S483,VALORACION!F:G,2,FALSE))</f>
        <v/>
      </c>
      <c r="U483" s="11"/>
      <c r="V483" s="80" t="str">
        <f>IF(U483="","",VLOOKUP(U483,ROLES!G:H,2,FALSE))</f>
        <v/>
      </c>
      <c r="W483" s="11"/>
      <c r="X483" s="80" t="str">
        <f>IF(W483="","",VLOOKUP(W483,ROLES!I:J,2,FALSE))</f>
        <v/>
      </c>
      <c r="Y483" s="95" t="e">
        <f t="shared" si="15"/>
        <v>#VALUE!</v>
      </c>
      <c r="Z483" s="6"/>
      <c r="AA483" s="6"/>
    </row>
    <row r="484" spans="1:27" ht="28.95" customHeight="1" x14ac:dyDescent="0.3">
      <c r="A484" s="91"/>
      <c r="B484" s="91"/>
      <c r="C484" s="80"/>
      <c r="D484" s="91"/>
      <c r="E484" s="80"/>
      <c r="F484" s="6"/>
      <c r="G484" s="6"/>
      <c r="H484" s="25"/>
      <c r="I484" s="133"/>
      <c r="J484" s="6"/>
      <c r="K484" s="6"/>
      <c r="L484" s="6"/>
      <c r="M484" s="6"/>
      <c r="N484" s="84"/>
      <c r="O484" s="80" t="str">
        <f>IF(N484="","",VLOOKUP(N484,ROLES!B:C,2,FALSE))</f>
        <v/>
      </c>
      <c r="P484" s="15"/>
      <c r="Q484" s="15"/>
      <c r="R484" s="16">
        <f t="shared" si="16"/>
        <v>0</v>
      </c>
      <c r="S484" s="16"/>
      <c r="T484" s="80" t="str">
        <f>IF(S484="","",VLOOKUP(S484,VALORACION!F:G,2,FALSE))</f>
        <v/>
      </c>
      <c r="U484" s="11"/>
      <c r="V484" s="80" t="str">
        <f>IF(U484="","",VLOOKUP(U484,ROLES!G:H,2,FALSE))</f>
        <v/>
      </c>
      <c r="W484" s="11"/>
      <c r="X484" s="80" t="str">
        <f>IF(W484="","",VLOOKUP(W484,ROLES!I:J,2,FALSE))</f>
        <v/>
      </c>
      <c r="Y484" s="95" t="e">
        <f t="shared" si="15"/>
        <v>#VALUE!</v>
      </c>
      <c r="Z484" s="6"/>
      <c r="AA484" s="6"/>
    </row>
    <row r="485" spans="1:27" ht="28.95" customHeight="1" x14ac:dyDescent="0.3">
      <c r="A485" s="91"/>
      <c r="B485" s="91"/>
      <c r="C485" s="80"/>
      <c r="D485" s="91"/>
      <c r="E485" s="80"/>
      <c r="F485" s="6"/>
      <c r="G485" s="6"/>
      <c r="H485" s="25"/>
      <c r="I485" s="133"/>
      <c r="J485" s="6"/>
      <c r="K485" s="6"/>
      <c r="L485" s="6"/>
      <c r="M485" s="6"/>
      <c r="N485" s="84"/>
      <c r="O485" s="80" t="str">
        <f>IF(N485="","",VLOOKUP(N485,ROLES!B:C,2,FALSE))</f>
        <v/>
      </c>
      <c r="P485" s="15"/>
      <c r="Q485" s="15"/>
      <c r="R485" s="16">
        <f t="shared" si="16"/>
        <v>0</v>
      </c>
      <c r="S485" s="16"/>
      <c r="T485" s="80" t="str">
        <f>IF(S485="","",VLOOKUP(S485,VALORACION!F:G,2,FALSE))</f>
        <v/>
      </c>
      <c r="U485" s="11"/>
      <c r="V485" s="80" t="str">
        <f>IF(U485="","",VLOOKUP(U485,ROLES!G:H,2,FALSE))</f>
        <v/>
      </c>
      <c r="W485" s="11"/>
      <c r="X485" s="80" t="str">
        <f>IF(W485="","",VLOOKUP(W485,ROLES!I:J,2,FALSE))</f>
        <v/>
      </c>
      <c r="Y485" s="95" t="e">
        <f t="shared" si="15"/>
        <v>#VALUE!</v>
      </c>
      <c r="Z485" s="6"/>
      <c r="AA485" s="6"/>
    </row>
    <row r="486" spans="1:27" ht="28.95" customHeight="1" x14ac:dyDescent="0.3">
      <c r="A486" s="91"/>
      <c r="B486" s="91"/>
      <c r="C486" s="80"/>
      <c r="D486" s="91"/>
      <c r="E486" s="80"/>
      <c r="F486" s="6"/>
      <c r="G486" s="6"/>
      <c r="H486" s="25"/>
      <c r="I486" s="133"/>
      <c r="J486" s="6"/>
      <c r="K486" s="6"/>
      <c r="L486" s="6"/>
      <c r="M486" s="6"/>
      <c r="N486" s="84"/>
      <c r="O486" s="80" t="str">
        <f>IF(N486="","",VLOOKUP(N486,ROLES!B:C,2,FALSE))</f>
        <v/>
      </c>
      <c r="P486" s="15"/>
      <c r="Q486" s="15"/>
      <c r="R486" s="16">
        <f t="shared" si="16"/>
        <v>0</v>
      </c>
      <c r="S486" s="16"/>
      <c r="T486" s="80" t="str">
        <f>IF(S486="","",VLOOKUP(S486,VALORACION!F:G,2,FALSE))</f>
        <v/>
      </c>
      <c r="U486" s="11"/>
      <c r="V486" s="80" t="str">
        <f>IF(U486="","",VLOOKUP(U486,ROLES!G:H,2,FALSE))</f>
        <v/>
      </c>
      <c r="W486" s="11"/>
      <c r="X486" s="80" t="str">
        <f>IF(W486="","",VLOOKUP(W486,ROLES!I:J,2,FALSE))</f>
        <v/>
      </c>
      <c r="Y486" s="95" t="e">
        <f t="shared" si="15"/>
        <v>#VALUE!</v>
      </c>
      <c r="Z486" s="6"/>
      <c r="AA486" s="6"/>
    </row>
    <row r="487" spans="1:27" ht="28.95" customHeight="1" x14ac:dyDescent="0.3">
      <c r="A487" s="91"/>
      <c r="B487" s="91"/>
      <c r="C487" s="80"/>
      <c r="D487" s="91"/>
      <c r="E487" s="80"/>
      <c r="F487" s="6"/>
      <c r="G487" s="6"/>
      <c r="H487" s="25"/>
      <c r="I487" s="133"/>
      <c r="J487" s="6"/>
      <c r="K487" s="6"/>
      <c r="L487" s="6"/>
      <c r="M487" s="6"/>
      <c r="N487" s="84"/>
      <c r="O487" s="80" t="str">
        <f>IF(N487="","",VLOOKUP(N487,ROLES!B:C,2,FALSE))</f>
        <v/>
      </c>
      <c r="P487" s="15"/>
      <c r="Q487" s="15"/>
      <c r="R487" s="16">
        <f t="shared" si="16"/>
        <v>0</v>
      </c>
      <c r="S487" s="16"/>
      <c r="T487" s="80" t="str">
        <f>IF(S487="","",VLOOKUP(S487,VALORACION!F:G,2,FALSE))</f>
        <v/>
      </c>
      <c r="U487" s="11"/>
      <c r="V487" s="80" t="str">
        <f>IF(U487="","",VLOOKUP(U487,ROLES!G:H,2,FALSE))</f>
        <v/>
      </c>
      <c r="W487" s="11"/>
      <c r="X487" s="80" t="str">
        <f>IF(W487="","",VLOOKUP(W487,ROLES!I:J,2,FALSE))</f>
        <v/>
      </c>
      <c r="Y487" s="95" t="e">
        <f t="shared" si="15"/>
        <v>#VALUE!</v>
      </c>
      <c r="Z487" s="6"/>
      <c r="AA487" s="6"/>
    </row>
    <row r="488" spans="1:27" ht="28.95" customHeight="1" x14ac:dyDescent="0.3">
      <c r="A488" s="91"/>
      <c r="B488" s="91"/>
      <c r="C488" s="80"/>
      <c r="D488" s="91"/>
      <c r="E488" s="80"/>
      <c r="F488" s="6"/>
      <c r="G488" s="6"/>
      <c r="H488" s="25"/>
      <c r="I488" s="133"/>
      <c r="J488" s="6"/>
      <c r="K488" s="6"/>
      <c r="L488" s="6"/>
      <c r="M488" s="6"/>
      <c r="N488" s="84"/>
      <c r="O488" s="80" t="str">
        <f>IF(N488="","",VLOOKUP(N488,ROLES!B:C,2,FALSE))</f>
        <v/>
      </c>
      <c r="P488" s="15"/>
      <c r="Q488" s="15"/>
      <c r="R488" s="16">
        <f t="shared" si="16"/>
        <v>0</v>
      </c>
      <c r="S488" s="16"/>
      <c r="T488" s="80" t="str">
        <f>IF(S488="","",VLOOKUP(S488,VALORACION!F:G,2,FALSE))</f>
        <v/>
      </c>
      <c r="U488" s="11"/>
      <c r="V488" s="80" t="str">
        <f>IF(U488="","",VLOOKUP(U488,ROLES!G:H,2,FALSE))</f>
        <v/>
      </c>
      <c r="W488" s="11"/>
      <c r="X488" s="80" t="str">
        <f>IF(W488="","",VLOOKUP(W488,ROLES!I:J,2,FALSE))</f>
        <v/>
      </c>
      <c r="Y488" s="95" t="e">
        <f t="shared" si="15"/>
        <v>#VALUE!</v>
      </c>
      <c r="Z488" s="6"/>
      <c r="AA488" s="6"/>
    </row>
    <row r="489" spans="1:27" ht="28.95" customHeight="1" x14ac:dyDescent="0.3">
      <c r="A489" s="91"/>
      <c r="B489" s="91"/>
      <c r="C489" s="80"/>
      <c r="D489" s="91"/>
      <c r="E489" s="80"/>
      <c r="F489" s="6"/>
      <c r="G489" s="6"/>
      <c r="H489" s="25"/>
      <c r="I489" s="133"/>
      <c r="J489" s="6"/>
      <c r="K489" s="6"/>
      <c r="L489" s="6"/>
      <c r="M489" s="6"/>
      <c r="N489" s="84"/>
      <c r="O489" s="80" t="str">
        <f>IF(N489="","",VLOOKUP(N489,ROLES!B:C,2,FALSE))</f>
        <v/>
      </c>
      <c r="P489" s="15"/>
      <c r="Q489" s="15"/>
      <c r="R489" s="16">
        <f t="shared" si="16"/>
        <v>0</v>
      </c>
      <c r="S489" s="16"/>
      <c r="T489" s="80" t="str">
        <f>IF(S489="","",VLOOKUP(S489,VALORACION!F:G,2,FALSE))</f>
        <v/>
      </c>
      <c r="U489" s="11"/>
      <c r="V489" s="80" t="str">
        <f>IF(U489="","",VLOOKUP(U489,ROLES!G:H,2,FALSE))</f>
        <v/>
      </c>
      <c r="W489" s="11"/>
      <c r="X489" s="80" t="str">
        <f>IF(W489="","",VLOOKUP(W489,ROLES!I:J,2,FALSE))</f>
        <v/>
      </c>
      <c r="Y489" s="95" t="e">
        <f t="shared" si="15"/>
        <v>#VALUE!</v>
      </c>
      <c r="Z489" s="6"/>
      <c r="AA489" s="6"/>
    </row>
    <row r="490" spans="1:27" ht="28.95" customHeight="1" x14ac:dyDescent="0.3">
      <c r="A490" s="91"/>
      <c r="B490" s="91"/>
      <c r="C490" s="80"/>
      <c r="D490" s="91"/>
      <c r="E490" s="80"/>
      <c r="F490" s="6"/>
      <c r="G490" s="6"/>
      <c r="H490" s="25"/>
      <c r="I490" s="133"/>
      <c r="J490" s="6"/>
      <c r="K490" s="6"/>
      <c r="L490" s="6"/>
      <c r="M490" s="6"/>
      <c r="N490" s="84"/>
      <c r="O490" s="80" t="str">
        <f>IF(N490="","",VLOOKUP(N490,ROLES!B:C,2,FALSE))</f>
        <v/>
      </c>
      <c r="P490" s="15"/>
      <c r="Q490" s="15"/>
      <c r="R490" s="16">
        <f t="shared" si="16"/>
        <v>0</v>
      </c>
      <c r="S490" s="16"/>
      <c r="T490" s="80" t="str">
        <f>IF(S490="","",VLOOKUP(S490,VALORACION!F:G,2,FALSE))</f>
        <v/>
      </c>
      <c r="U490" s="11"/>
      <c r="V490" s="80" t="str">
        <f>IF(U490="","",VLOOKUP(U490,ROLES!G:H,2,FALSE))</f>
        <v/>
      </c>
      <c r="W490" s="11"/>
      <c r="X490" s="80" t="str">
        <f>IF(W490="","",VLOOKUP(W490,ROLES!I:J,2,FALSE))</f>
        <v/>
      </c>
      <c r="Y490" s="95" t="e">
        <f t="shared" si="15"/>
        <v>#VALUE!</v>
      </c>
      <c r="Z490" s="6"/>
      <c r="AA490" s="6"/>
    </row>
    <row r="491" spans="1:27" ht="28.95" customHeight="1" x14ac:dyDescent="0.3">
      <c r="A491" s="91"/>
      <c r="B491" s="91"/>
      <c r="C491" s="80"/>
      <c r="D491" s="91"/>
      <c r="E491" s="80"/>
      <c r="F491" s="6"/>
      <c r="G491" s="6"/>
      <c r="H491" s="25"/>
      <c r="I491" s="133"/>
      <c r="J491" s="6"/>
      <c r="K491" s="6"/>
      <c r="L491" s="6"/>
      <c r="M491" s="6"/>
      <c r="N491" s="84"/>
      <c r="O491" s="80" t="str">
        <f>IF(N491="","",VLOOKUP(N491,ROLES!B:C,2,FALSE))</f>
        <v/>
      </c>
      <c r="P491" s="15"/>
      <c r="Q491" s="15"/>
      <c r="R491" s="16">
        <f t="shared" si="16"/>
        <v>0</v>
      </c>
      <c r="S491" s="16"/>
      <c r="T491" s="80" t="str">
        <f>IF(S491="","",VLOOKUP(S491,VALORACION!F:G,2,FALSE))</f>
        <v/>
      </c>
      <c r="U491" s="11"/>
      <c r="V491" s="80" t="str">
        <f>IF(U491="","",VLOOKUP(U491,ROLES!G:H,2,FALSE))</f>
        <v/>
      </c>
      <c r="W491" s="11"/>
      <c r="X491" s="80" t="str">
        <f>IF(W491="","",VLOOKUP(W491,ROLES!I:J,2,FALSE))</f>
        <v/>
      </c>
      <c r="Y491" s="95" t="e">
        <f t="shared" si="15"/>
        <v>#VALUE!</v>
      </c>
      <c r="Z491" s="6"/>
      <c r="AA491" s="6"/>
    </row>
    <row r="492" spans="1:27" ht="28.95" customHeight="1" x14ac:dyDescent="0.3">
      <c r="A492" s="91"/>
      <c r="B492" s="91"/>
      <c r="C492" s="80"/>
      <c r="D492" s="91"/>
      <c r="E492" s="80"/>
      <c r="F492" s="6"/>
      <c r="G492" s="6"/>
      <c r="H492" s="25"/>
      <c r="I492" s="133"/>
      <c r="J492" s="6"/>
      <c r="K492" s="6"/>
      <c r="L492" s="6"/>
      <c r="M492" s="6"/>
      <c r="N492" s="84"/>
      <c r="O492" s="80" t="str">
        <f>IF(N492="","",VLOOKUP(N492,ROLES!B:C,2,FALSE))</f>
        <v/>
      </c>
      <c r="P492" s="15"/>
      <c r="Q492" s="15"/>
      <c r="R492" s="16">
        <f t="shared" si="16"/>
        <v>0</v>
      </c>
      <c r="S492" s="16"/>
      <c r="T492" s="80" t="str">
        <f>IF(S492="","",VLOOKUP(S492,VALORACION!F:G,2,FALSE))</f>
        <v/>
      </c>
      <c r="U492" s="11"/>
      <c r="V492" s="80" t="str">
        <f>IF(U492="","",VLOOKUP(U492,ROLES!G:H,2,FALSE))</f>
        <v/>
      </c>
      <c r="W492" s="11"/>
      <c r="X492" s="80" t="str">
        <f>IF(W492="","",VLOOKUP(W492,ROLES!I:J,2,FALSE))</f>
        <v/>
      </c>
      <c r="Y492" s="95" t="e">
        <f t="shared" si="15"/>
        <v>#VALUE!</v>
      </c>
      <c r="Z492" s="6"/>
      <c r="AA492" s="6"/>
    </row>
    <row r="493" spans="1:27" ht="28.95" customHeight="1" x14ac:dyDescent="0.3">
      <c r="A493" s="91"/>
      <c r="B493" s="91"/>
      <c r="C493" s="80"/>
      <c r="D493" s="91"/>
      <c r="E493" s="80"/>
      <c r="F493" s="6"/>
      <c r="G493" s="6"/>
      <c r="H493" s="25"/>
      <c r="I493" s="133"/>
      <c r="J493" s="6"/>
      <c r="K493" s="6"/>
      <c r="L493" s="6"/>
      <c r="M493" s="6"/>
      <c r="N493" s="84"/>
      <c r="O493" s="80" t="str">
        <f>IF(N493="","",VLOOKUP(N493,ROLES!B:C,2,FALSE))</f>
        <v/>
      </c>
      <c r="P493" s="15"/>
      <c r="Q493" s="15"/>
      <c r="R493" s="16">
        <f t="shared" si="16"/>
        <v>0</v>
      </c>
      <c r="S493" s="16"/>
      <c r="T493" s="80" t="str">
        <f>IF(S493="","",VLOOKUP(S493,VALORACION!F:G,2,FALSE))</f>
        <v/>
      </c>
      <c r="U493" s="11"/>
      <c r="V493" s="80" t="str">
        <f>IF(U493="","",VLOOKUP(U493,ROLES!G:H,2,FALSE))</f>
        <v/>
      </c>
      <c r="W493" s="11"/>
      <c r="X493" s="80" t="str">
        <f>IF(W493="","",VLOOKUP(W493,ROLES!I:J,2,FALSE))</f>
        <v/>
      </c>
      <c r="Y493" s="95" t="e">
        <f t="shared" si="15"/>
        <v>#VALUE!</v>
      </c>
      <c r="Z493" s="6"/>
      <c r="AA493" s="6"/>
    </row>
    <row r="494" spans="1:27" ht="28.95" customHeight="1" x14ac:dyDescent="0.3">
      <c r="A494" s="91"/>
      <c r="B494" s="91"/>
      <c r="C494" s="80"/>
      <c r="D494" s="91"/>
      <c r="E494" s="80"/>
      <c r="F494" s="6"/>
      <c r="G494" s="6"/>
      <c r="H494" s="25"/>
      <c r="I494" s="133"/>
      <c r="J494" s="6"/>
      <c r="K494" s="6"/>
      <c r="L494" s="6"/>
      <c r="M494" s="6"/>
      <c r="N494" s="84"/>
      <c r="O494" s="80" t="str">
        <f>IF(N494="","",VLOOKUP(N494,ROLES!B:C,2,FALSE))</f>
        <v/>
      </c>
      <c r="P494" s="15"/>
      <c r="Q494" s="15"/>
      <c r="R494" s="16">
        <f t="shared" si="16"/>
        <v>0</v>
      </c>
      <c r="S494" s="16"/>
      <c r="T494" s="80" t="str">
        <f>IF(S494="","",VLOOKUP(S494,VALORACION!F:G,2,FALSE))</f>
        <v/>
      </c>
      <c r="U494" s="11"/>
      <c r="V494" s="80" t="str">
        <f>IF(U494="","",VLOOKUP(U494,ROLES!G:H,2,FALSE))</f>
        <v/>
      </c>
      <c r="W494" s="11"/>
      <c r="X494" s="80" t="str">
        <f>IF(W494="","",VLOOKUP(W494,ROLES!I:J,2,FALSE))</f>
        <v/>
      </c>
      <c r="Y494" s="95" t="e">
        <f t="shared" si="15"/>
        <v>#VALUE!</v>
      </c>
      <c r="Z494" s="6"/>
      <c r="AA494" s="6"/>
    </row>
    <row r="495" spans="1:27" ht="28.95" customHeight="1" x14ac:dyDescent="0.3">
      <c r="A495" s="91"/>
      <c r="B495" s="91"/>
      <c r="C495" s="80"/>
      <c r="D495" s="91"/>
      <c r="E495" s="80"/>
      <c r="F495" s="6"/>
      <c r="G495" s="6"/>
      <c r="H495" s="25"/>
      <c r="I495" s="133"/>
      <c r="J495" s="6"/>
      <c r="K495" s="6"/>
      <c r="L495" s="6"/>
      <c r="M495" s="6"/>
      <c r="N495" s="84"/>
      <c r="O495" s="80" t="str">
        <f>IF(N495="","",VLOOKUP(N495,ROLES!B:C,2,FALSE))</f>
        <v/>
      </c>
      <c r="P495" s="15"/>
      <c r="Q495" s="15"/>
      <c r="R495" s="16">
        <f t="shared" si="16"/>
        <v>0</v>
      </c>
      <c r="S495" s="16"/>
      <c r="T495" s="80" t="str">
        <f>IF(S495="","",VLOOKUP(S495,VALORACION!F:G,2,FALSE))</f>
        <v/>
      </c>
      <c r="U495" s="11"/>
      <c r="V495" s="80" t="str">
        <f>IF(U495="","",VLOOKUP(U495,ROLES!G:H,2,FALSE))</f>
        <v/>
      </c>
      <c r="W495" s="11"/>
      <c r="X495" s="80" t="str">
        <f>IF(W495="","",VLOOKUP(W495,ROLES!I:J,2,FALSE))</f>
        <v/>
      </c>
      <c r="Y495" s="95" t="e">
        <f t="shared" si="15"/>
        <v>#VALUE!</v>
      </c>
      <c r="Z495" s="6"/>
      <c r="AA495" s="6"/>
    </row>
    <row r="496" spans="1:27" ht="28.95" customHeight="1" x14ac:dyDescent="0.3">
      <c r="A496" s="91"/>
      <c r="B496" s="91"/>
      <c r="C496" s="80"/>
      <c r="D496" s="91"/>
      <c r="E496" s="80"/>
      <c r="F496" s="6"/>
      <c r="G496" s="6"/>
      <c r="H496" s="25"/>
      <c r="I496" s="133"/>
      <c r="J496" s="6"/>
      <c r="K496" s="6"/>
      <c r="L496" s="6"/>
      <c r="M496" s="6"/>
      <c r="N496" s="84"/>
      <c r="O496" s="80" t="str">
        <f>IF(N496="","",VLOOKUP(N496,ROLES!B:C,2,FALSE))</f>
        <v/>
      </c>
      <c r="P496" s="15"/>
      <c r="Q496" s="15"/>
      <c r="R496" s="16">
        <f t="shared" si="16"/>
        <v>0</v>
      </c>
      <c r="S496" s="16"/>
      <c r="T496" s="80" t="str">
        <f>IF(S496="","",VLOOKUP(S496,VALORACION!F:G,2,FALSE))</f>
        <v/>
      </c>
      <c r="U496" s="11"/>
      <c r="V496" s="80" t="str">
        <f>IF(U496="","",VLOOKUP(U496,ROLES!G:H,2,FALSE))</f>
        <v/>
      </c>
      <c r="W496" s="11"/>
      <c r="X496" s="80" t="str">
        <f>IF(W496="","",VLOOKUP(W496,ROLES!I:J,2,FALSE))</f>
        <v/>
      </c>
      <c r="Y496" s="95" t="e">
        <f t="shared" si="15"/>
        <v>#VALUE!</v>
      </c>
      <c r="Z496" s="6"/>
      <c r="AA496" s="6"/>
    </row>
    <row r="497" spans="1:27" ht="28.95" customHeight="1" x14ac:dyDescent="0.3">
      <c r="A497" s="91"/>
      <c r="B497" s="91"/>
      <c r="C497" s="80"/>
      <c r="D497" s="91"/>
      <c r="E497" s="80"/>
      <c r="F497" s="6"/>
      <c r="G497" s="6"/>
      <c r="H497" s="25"/>
      <c r="I497" s="133"/>
      <c r="J497" s="6"/>
      <c r="K497" s="6"/>
      <c r="L497" s="6"/>
      <c r="M497" s="6"/>
      <c r="N497" s="84"/>
      <c r="O497" s="80" t="str">
        <f>IF(N497="","",VLOOKUP(N497,ROLES!B:C,2,FALSE))</f>
        <v/>
      </c>
      <c r="P497" s="15"/>
      <c r="Q497" s="15"/>
      <c r="R497" s="16">
        <f t="shared" si="16"/>
        <v>0</v>
      </c>
      <c r="S497" s="16"/>
      <c r="T497" s="80" t="str">
        <f>IF(S497="","",VLOOKUP(S497,VALORACION!F:G,2,FALSE))</f>
        <v/>
      </c>
      <c r="U497" s="11"/>
      <c r="V497" s="80" t="str">
        <f>IF(U497="","",VLOOKUP(U497,ROLES!G:H,2,FALSE))</f>
        <v/>
      </c>
      <c r="W497" s="11"/>
      <c r="X497" s="80" t="str">
        <f>IF(W497="","",VLOOKUP(W497,ROLES!I:J,2,FALSE))</f>
        <v/>
      </c>
      <c r="Y497" s="95" t="e">
        <f t="shared" si="15"/>
        <v>#VALUE!</v>
      </c>
      <c r="Z497" s="6"/>
      <c r="AA497" s="6"/>
    </row>
    <row r="498" spans="1:27" ht="28.95" customHeight="1" x14ac:dyDescent="0.3">
      <c r="A498" s="91"/>
      <c r="B498" s="91"/>
      <c r="C498" s="80"/>
      <c r="D498" s="91"/>
      <c r="E498" s="80"/>
      <c r="F498" s="6"/>
      <c r="G498" s="6"/>
      <c r="H498" s="25"/>
      <c r="I498" s="133"/>
      <c r="J498" s="6"/>
      <c r="K498" s="6"/>
      <c r="L498" s="6"/>
      <c r="M498" s="6"/>
      <c r="N498" s="84"/>
      <c r="O498" s="80" t="str">
        <f>IF(N498="","",VLOOKUP(N498,ROLES!B:C,2,FALSE))</f>
        <v/>
      </c>
      <c r="P498" s="15"/>
      <c r="Q498" s="15"/>
      <c r="R498" s="16">
        <f t="shared" si="16"/>
        <v>0</v>
      </c>
      <c r="S498" s="16"/>
      <c r="T498" s="80" t="str">
        <f>IF(S498="","",VLOOKUP(S498,VALORACION!F:G,2,FALSE))</f>
        <v/>
      </c>
      <c r="U498" s="11"/>
      <c r="V498" s="80" t="str">
        <f>IF(U498="","",VLOOKUP(U498,ROLES!G:H,2,FALSE))</f>
        <v/>
      </c>
      <c r="W498" s="11"/>
      <c r="X498" s="80" t="str">
        <f>IF(W498="","",VLOOKUP(W498,ROLES!I:J,2,FALSE))</f>
        <v/>
      </c>
      <c r="Y498" s="95" t="e">
        <f t="shared" si="15"/>
        <v>#VALUE!</v>
      </c>
      <c r="Z498" s="6"/>
      <c r="AA498" s="6"/>
    </row>
    <row r="499" spans="1:27" ht="28.95" customHeight="1" x14ac:dyDescent="0.3">
      <c r="A499" s="91"/>
      <c r="B499" s="91"/>
      <c r="C499" s="80"/>
      <c r="D499" s="91"/>
      <c r="E499" s="80"/>
      <c r="F499" s="6"/>
      <c r="G499" s="6"/>
      <c r="H499" s="25"/>
      <c r="I499" s="133"/>
      <c r="J499" s="6"/>
      <c r="K499" s="6"/>
      <c r="L499" s="6"/>
      <c r="M499" s="6"/>
      <c r="N499" s="84"/>
      <c r="O499" s="80" t="str">
        <f>IF(N499="","",VLOOKUP(N499,ROLES!B:C,2,FALSE))</f>
        <v/>
      </c>
      <c r="P499" s="15"/>
      <c r="Q499" s="15"/>
      <c r="R499" s="16">
        <f t="shared" si="16"/>
        <v>0</v>
      </c>
      <c r="S499" s="16"/>
      <c r="T499" s="80" t="str">
        <f>IF(S499="","",VLOOKUP(S499,VALORACION!F:G,2,FALSE))</f>
        <v/>
      </c>
      <c r="U499" s="11"/>
      <c r="V499" s="80" t="str">
        <f>IF(U499="","",VLOOKUP(U499,ROLES!G:H,2,FALSE))</f>
        <v/>
      </c>
      <c r="W499" s="11"/>
      <c r="X499" s="80" t="str">
        <f>IF(W499="","",VLOOKUP(W499,ROLES!I:J,2,FALSE))</f>
        <v/>
      </c>
      <c r="Y499" s="95" t="e">
        <f t="shared" si="15"/>
        <v>#VALUE!</v>
      </c>
      <c r="Z499" s="6"/>
      <c r="AA499" s="6"/>
    </row>
    <row r="500" spans="1:27" ht="28.95" customHeight="1" x14ac:dyDescent="0.3">
      <c r="A500" s="91"/>
      <c r="B500" s="91"/>
      <c r="C500" s="80"/>
      <c r="D500" s="91"/>
      <c r="E500" s="80"/>
      <c r="F500" s="6"/>
      <c r="G500" s="6"/>
      <c r="H500" s="25"/>
      <c r="I500" s="133"/>
      <c r="J500" s="6"/>
      <c r="K500" s="6"/>
      <c r="L500" s="6"/>
      <c r="M500" s="6"/>
      <c r="N500" s="84"/>
      <c r="O500" s="80" t="str">
        <f>IF(N500="","",VLOOKUP(N500,ROLES!B:C,2,FALSE))</f>
        <v/>
      </c>
      <c r="P500" s="15"/>
      <c r="Q500" s="15"/>
      <c r="R500" s="16">
        <f t="shared" si="16"/>
        <v>0</v>
      </c>
      <c r="S500" s="16"/>
      <c r="T500" s="80" t="str">
        <f>IF(S500="","",VLOOKUP(S500,VALORACION!F:G,2,FALSE))</f>
        <v/>
      </c>
      <c r="U500" s="11"/>
      <c r="V500" s="80" t="str">
        <f>IF(U500="","",VLOOKUP(U500,ROLES!G:H,2,FALSE))</f>
        <v/>
      </c>
      <c r="W500" s="11"/>
      <c r="X500" s="80" t="str">
        <f>IF(W500="","",VLOOKUP(W500,ROLES!I:J,2,FALSE))</f>
        <v/>
      </c>
      <c r="Y500" s="95" t="e">
        <f t="shared" si="15"/>
        <v>#VALUE!</v>
      </c>
      <c r="Z500" s="6"/>
      <c r="AA500" s="6"/>
    </row>
    <row r="501" spans="1:27" ht="28.95" customHeight="1" x14ac:dyDescent="0.3">
      <c r="A501" s="91"/>
      <c r="B501" s="91"/>
      <c r="C501" s="80"/>
      <c r="D501" s="91"/>
      <c r="E501" s="80"/>
      <c r="F501" s="6"/>
      <c r="G501" s="6"/>
      <c r="H501" s="25"/>
      <c r="I501" s="133"/>
      <c r="J501" s="6"/>
      <c r="K501" s="6"/>
      <c r="L501" s="6"/>
      <c r="M501" s="6"/>
      <c r="N501" s="84"/>
      <c r="O501" s="80" t="str">
        <f>IF(N501="","",VLOOKUP(N501,ROLES!B:C,2,FALSE))</f>
        <v/>
      </c>
      <c r="P501" s="15"/>
      <c r="Q501" s="15"/>
      <c r="R501" s="16">
        <f t="shared" si="16"/>
        <v>0</v>
      </c>
      <c r="S501" s="16"/>
      <c r="T501" s="80" t="str">
        <f>IF(S501="","",VLOOKUP(S501,VALORACION!F:G,2,FALSE))</f>
        <v/>
      </c>
      <c r="U501" s="11"/>
      <c r="V501" s="80" t="str">
        <f>IF(U501="","",VLOOKUP(U501,ROLES!G:H,2,FALSE))</f>
        <v/>
      </c>
      <c r="W501" s="11"/>
      <c r="X501" s="80" t="str">
        <f>IF(W501="","",VLOOKUP(W501,ROLES!I:J,2,FALSE))</f>
        <v/>
      </c>
      <c r="Y501" s="95" t="e">
        <f t="shared" si="15"/>
        <v>#VALUE!</v>
      </c>
      <c r="Z501" s="6"/>
      <c r="AA501" s="6"/>
    </row>
    <row r="502" spans="1:27" ht="28.95" customHeight="1" x14ac:dyDescent="0.3">
      <c r="A502" s="91"/>
      <c r="B502" s="91"/>
      <c r="C502" s="80"/>
      <c r="D502" s="91"/>
      <c r="E502" s="80"/>
      <c r="F502" s="6"/>
      <c r="G502" s="6"/>
      <c r="H502" s="25"/>
      <c r="I502" s="133"/>
      <c r="J502" s="6"/>
      <c r="K502" s="6"/>
      <c r="L502" s="6"/>
      <c r="M502" s="6"/>
      <c r="N502" s="84"/>
      <c r="O502" s="80" t="str">
        <f>IF(N502="","",VLOOKUP(N502,ROLES!B:C,2,FALSE))</f>
        <v/>
      </c>
      <c r="P502" s="15"/>
      <c r="Q502" s="15"/>
      <c r="R502" s="16">
        <f t="shared" si="16"/>
        <v>0</v>
      </c>
      <c r="S502" s="16"/>
      <c r="T502" s="80" t="str">
        <f>IF(S502="","",VLOOKUP(S502,VALORACION!F:G,2,FALSE))</f>
        <v/>
      </c>
      <c r="U502" s="11"/>
      <c r="V502" s="80" t="str">
        <f>IF(U502="","",VLOOKUP(U502,ROLES!G:H,2,FALSE))</f>
        <v/>
      </c>
      <c r="W502" s="11"/>
      <c r="X502" s="80" t="str">
        <f>IF(W502="","",VLOOKUP(W502,ROLES!I:J,2,FALSE))</f>
        <v/>
      </c>
      <c r="Y502" s="95" t="e">
        <f t="shared" si="15"/>
        <v>#VALUE!</v>
      </c>
      <c r="Z502" s="6"/>
      <c r="AA502" s="6"/>
    </row>
    <row r="503" spans="1:27" ht="28.95" customHeight="1" x14ac:dyDescent="0.3">
      <c r="A503" s="91"/>
      <c r="B503" s="91"/>
      <c r="C503" s="80"/>
      <c r="D503" s="91"/>
      <c r="E503" s="80"/>
      <c r="F503" s="6"/>
      <c r="G503" s="6"/>
      <c r="H503" s="25"/>
      <c r="I503" s="133"/>
      <c r="J503" s="6"/>
      <c r="K503" s="6"/>
      <c r="L503" s="6"/>
      <c r="M503" s="6"/>
      <c r="N503" s="84"/>
      <c r="O503" s="80" t="str">
        <f>IF(N503="","",VLOOKUP(N503,ROLES!B:C,2,FALSE))</f>
        <v/>
      </c>
      <c r="P503" s="15"/>
      <c r="Q503" s="15"/>
      <c r="R503" s="16">
        <f t="shared" si="16"/>
        <v>0</v>
      </c>
      <c r="S503" s="16"/>
      <c r="T503" s="80" t="str">
        <f>IF(S503="","",VLOOKUP(S503,VALORACION!F:G,2,FALSE))</f>
        <v/>
      </c>
      <c r="U503" s="11"/>
      <c r="V503" s="80" t="str">
        <f>IF(U503="","",VLOOKUP(U503,ROLES!G:H,2,FALSE))</f>
        <v/>
      </c>
      <c r="W503" s="11"/>
      <c r="X503" s="80" t="str">
        <f>IF(W503="","",VLOOKUP(W503,ROLES!I:J,2,FALSE))</f>
        <v/>
      </c>
      <c r="Y503" s="95" t="e">
        <f t="shared" si="15"/>
        <v>#VALUE!</v>
      </c>
      <c r="Z503" s="6"/>
      <c r="AA503" s="6"/>
    </row>
    <row r="504" spans="1:27" ht="28.95" customHeight="1" x14ac:dyDescent="0.3">
      <c r="A504" s="91"/>
      <c r="B504" s="91"/>
      <c r="C504" s="80"/>
      <c r="D504" s="91"/>
      <c r="E504" s="80"/>
      <c r="F504" s="6"/>
      <c r="G504" s="6"/>
      <c r="H504" s="25"/>
      <c r="I504" s="133"/>
      <c r="J504" s="6"/>
      <c r="K504" s="6"/>
      <c r="L504" s="6"/>
      <c r="M504" s="6"/>
      <c r="N504" s="84"/>
      <c r="O504" s="80" t="str">
        <f>IF(N504="","",VLOOKUP(N504,ROLES!B:C,2,FALSE))</f>
        <v/>
      </c>
      <c r="P504" s="15"/>
      <c r="Q504" s="15"/>
      <c r="R504" s="16">
        <f t="shared" si="16"/>
        <v>0</v>
      </c>
      <c r="S504" s="16"/>
      <c r="T504" s="80" t="str">
        <f>IF(S504="","",VLOOKUP(S504,VALORACION!F:G,2,FALSE))</f>
        <v/>
      </c>
      <c r="U504" s="11"/>
      <c r="V504" s="80" t="str">
        <f>IF(U504="","",VLOOKUP(U504,ROLES!G:H,2,FALSE))</f>
        <v/>
      </c>
      <c r="W504" s="11"/>
      <c r="X504" s="80" t="str">
        <f>IF(W504="","",VLOOKUP(W504,ROLES!I:J,2,FALSE))</f>
        <v/>
      </c>
      <c r="Y504" s="95" t="e">
        <f t="shared" si="15"/>
        <v>#VALUE!</v>
      </c>
      <c r="Z504" s="6"/>
      <c r="AA504" s="6"/>
    </row>
    <row r="505" spans="1:27" ht="28.95" customHeight="1" x14ac:dyDescent="0.3">
      <c r="A505" s="91"/>
      <c r="B505" s="91"/>
      <c r="C505" s="80"/>
      <c r="D505" s="91"/>
      <c r="E505" s="80"/>
      <c r="F505" s="6"/>
      <c r="G505" s="6"/>
      <c r="H505" s="25"/>
      <c r="I505" s="133"/>
      <c r="J505" s="6"/>
      <c r="K505" s="6"/>
      <c r="L505" s="6"/>
      <c r="M505" s="6"/>
      <c r="N505" s="84"/>
      <c r="O505" s="80" t="str">
        <f>IF(N505="","",VLOOKUP(N505,ROLES!B:C,2,FALSE))</f>
        <v/>
      </c>
      <c r="P505" s="15"/>
      <c r="Q505" s="15"/>
      <c r="R505" s="16">
        <f t="shared" si="16"/>
        <v>0</v>
      </c>
      <c r="S505" s="16"/>
      <c r="T505" s="80" t="str">
        <f>IF(S505="","",VLOOKUP(S505,VALORACION!F:G,2,FALSE))</f>
        <v/>
      </c>
      <c r="U505" s="11"/>
      <c r="V505" s="80" t="str">
        <f>IF(U505="","",VLOOKUP(U505,ROLES!G:H,2,FALSE))</f>
        <v/>
      </c>
      <c r="W505" s="11"/>
      <c r="X505" s="80" t="str">
        <f>IF(W505="","",VLOOKUP(W505,ROLES!I:J,2,FALSE))</f>
        <v/>
      </c>
      <c r="Y505" s="95" t="e">
        <f t="shared" si="15"/>
        <v>#VALUE!</v>
      </c>
      <c r="Z505" s="6"/>
      <c r="AA505" s="6"/>
    </row>
    <row r="506" spans="1:27" ht="28.95" customHeight="1" x14ac:dyDescent="0.3">
      <c r="A506" s="91"/>
      <c r="B506" s="91"/>
      <c r="C506" s="80"/>
      <c r="D506" s="91"/>
      <c r="E506" s="80"/>
      <c r="F506" s="6"/>
      <c r="G506" s="6"/>
      <c r="H506" s="25"/>
      <c r="I506" s="133"/>
      <c r="J506" s="6"/>
      <c r="K506" s="6"/>
      <c r="L506" s="6"/>
      <c r="M506" s="6"/>
      <c r="N506" s="84"/>
      <c r="O506" s="80" t="str">
        <f>IF(N506="","",VLOOKUP(N506,ROLES!B:C,2,FALSE))</f>
        <v/>
      </c>
      <c r="P506" s="15"/>
      <c r="Q506" s="15"/>
      <c r="R506" s="16">
        <f t="shared" si="16"/>
        <v>0</v>
      </c>
      <c r="S506" s="16"/>
      <c r="T506" s="80" t="str">
        <f>IF(S506="","",VLOOKUP(S506,VALORACION!F:G,2,FALSE))</f>
        <v/>
      </c>
      <c r="U506" s="11"/>
      <c r="V506" s="80" t="str">
        <f>IF(U506="","",VLOOKUP(U506,ROLES!G:H,2,FALSE))</f>
        <v/>
      </c>
      <c r="W506" s="11"/>
      <c r="X506" s="80" t="str">
        <f>IF(W506="","",VLOOKUP(W506,ROLES!I:J,2,FALSE))</f>
        <v/>
      </c>
      <c r="Y506" s="95" t="e">
        <f t="shared" si="15"/>
        <v>#VALUE!</v>
      </c>
      <c r="Z506" s="6"/>
      <c r="AA506" s="6"/>
    </row>
    <row r="507" spans="1:27" ht="28.95" customHeight="1" x14ac:dyDescent="0.3">
      <c r="A507" s="91"/>
      <c r="B507" s="91"/>
      <c r="C507" s="80"/>
      <c r="D507" s="91"/>
      <c r="E507" s="80"/>
      <c r="F507" s="6"/>
      <c r="G507" s="6"/>
      <c r="H507" s="25"/>
      <c r="I507" s="133"/>
      <c r="J507" s="6"/>
      <c r="K507" s="6"/>
      <c r="L507" s="6"/>
      <c r="M507" s="6"/>
      <c r="N507" s="84"/>
      <c r="O507" s="80" t="str">
        <f>IF(N507="","",VLOOKUP(N507,ROLES!B:C,2,FALSE))</f>
        <v/>
      </c>
      <c r="P507" s="15"/>
      <c r="Q507" s="15"/>
      <c r="R507" s="16">
        <f t="shared" si="16"/>
        <v>0</v>
      </c>
      <c r="S507" s="16"/>
      <c r="T507" s="80" t="str">
        <f>IF(S507="","",VLOOKUP(S507,VALORACION!F:G,2,FALSE))</f>
        <v/>
      </c>
      <c r="U507" s="11"/>
      <c r="V507" s="80" t="str">
        <f>IF(U507="","",VLOOKUP(U507,ROLES!G:H,2,FALSE))</f>
        <v/>
      </c>
      <c r="W507" s="11"/>
      <c r="X507" s="80" t="str">
        <f>IF(W507="","",VLOOKUP(W507,ROLES!I:J,2,FALSE))</f>
        <v/>
      </c>
      <c r="Y507" s="95" t="e">
        <f t="shared" si="15"/>
        <v>#VALUE!</v>
      </c>
      <c r="Z507" s="6"/>
      <c r="AA507" s="6"/>
    </row>
    <row r="508" spans="1:27" ht="28.95" customHeight="1" x14ac:dyDescent="0.3">
      <c r="A508" s="91"/>
      <c r="B508" s="91"/>
      <c r="C508" s="80"/>
      <c r="D508" s="91"/>
      <c r="E508" s="80"/>
      <c r="F508" s="6"/>
      <c r="G508" s="6"/>
      <c r="H508" s="25"/>
      <c r="I508" s="133"/>
      <c r="J508" s="6"/>
      <c r="K508" s="6"/>
      <c r="L508" s="6"/>
      <c r="M508" s="6"/>
      <c r="N508" s="84"/>
      <c r="O508" s="80" t="str">
        <f>IF(N508="","",VLOOKUP(N508,ROLES!B:C,2,FALSE))</f>
        <v/>
      </c>
      <c r="P508" s="15"/>
      <c r="Q508" s="15"/>
      <c r="R508" s="16">
        <f t="shared" si="16"/>
        <v>0</v>
      </c>
      <c r="S508" s="16"/>
      <c r="T508" s="80" t="str">
        <f>IF(S508="","",VLOOKUP(S508,VALORACION!F:G,2,FALSE))</f>
        <v/>
      </c>
      <c r="U508" s="11"/>
      <c r="V508" s="80" t="str">
        <f>IF(U508="","",VLOOKUP(U508,ROLES!G:H,2,FALSE))</f>
        <v/>
      </c>
      <c r="W508" s="11"/>
      <c r="X508" s="80" t="str">
        <f>IF(W508="","",VLOOKUP(W508,ROLES!I:J,2,FALSE))</f>
        <v/>
      </c>
      <c r="Y508" s="95" t="e">
        <f t="shared" si="15"/>
        <v>#VALUE!</v>
      </c>
      <c r="Z508" s="6"/>
      <c r="AA508" s="6"/>
    </row>
    <row r="509" spans="1:27" ht="28.95" customHeight="1" x14ac:dyDescent="0.3">
      <c r="A509" s="91"/>
      <c r="B509" s="91"/>
      <c r="C509" s="80"/>
      <c r="D509" s="91"/>
      <c r="E509" s="80"/>
      <c r="F509" s="6"/>
      <c r="G509" s="6"/>
      <c r="H509" s="25"/>
      <c r="I509" s="133"/>
      <c r="J509" s="6"/>
      <c r="K509" s="6"/>
      <c r="L509" s="6"/>
      <c r="M509" s="6"/>
      <c r="N509" s="84"/>
      <c r="O509" s="80" t="str">
        <f>IF(N509="","",VLOOKUP(N509,ROLES!B:C,2,FALSE))</f>
        <v/>
      </c>
      <c r="P509" s="15"/>
      <c r="Q509" s="15"/>
      <c r="R509" s="16">
        <f t="shared" si="16"/>
        <v>0</v>
      </c>
      <c r="S509" s="16"/>
      <c r="T509" s="80" t="str">
        <f>IF(S509="","",VLOOKUP(S509,VALORACION!F:G,2,FALSE))</f>
        <v/>
      </c>
      <c r="U509" s="11"/>
      <c r="V509" s="80" t="str">
        <f>IF(U509="","",VLOOKUP(U509,ROLES!G:H,2,FALSE))</f>
        <v/>
      </c>
      <c r="W509" s="11"/>
      <c r="X509" s="80" t="str">
        <f>IF(W509="","",VLOOKUP(W509,ROLES!I:J,2,FALSE))</f>
        <v/>
      </c>
      <c r="Y509" s="95" t="e">
        <f t="shared" si="15"/>
        <v>#VALUE!</v>
      </c>
      <c r="Z509" s="6"/>
      <c r="AA509" s="6"/>
    </row>
    <row r="510" spans="1:27" ht="28.95" customHeight="1" x14ac:dyDescent="0.3">
      <c r="A510" s="91"/>
      <c r="B510" s="91"/>
      <c r="C510" s="80"/>
      <c r="D510" s="91"/>
      <c r="E510" s="80"/>
      <c r="F510" s="6"/>
      <c r="G510" s="6"/>
      <c r="H510" s="25"/>
      <c r="I510" s="133"/>
      <c r="J510" s="6"/>
      <c r="K510" s="6"/>
      <c r="L510" s="6"/>
      <c r="M510" s="6"/>
      <c r="N510" s="84"/>
      <c r="O510" s="80" t="str">
        <f>IF(N510="","",VLOOKUP(N510,ROLES!B:C,2,FALSE))</f>
        <v/>
      </c>
      <c r="P510" s="15"/>
      <c r="Q510" s="15"/>
      <c r="R510" s="16">
        <f t="shared" si="16"/>
        <v>0</v>
      </c>
      <c r="S510" s="16"/>
      <c r="T510" s="80" t="str">
        <f>IF(S510="","",VLOOKUP(S510,VALORACION!F:G,2,FALSE))</f>
        <v/>
      </c>
      <c r="U510" s="11"/>
      <c r="V510" s="80" t="str">
        <f>IF(U510="","",VLOOKUP(U510,ROLES!G:H,2,FALSE))</f>
        <v/>
      </c>
      <c r="W510" s="11"/>
      <c r="X510" s="80" t="str">
        <f>IF(W510="","",VLOOKUP(W510,ROLES!I:J,2,FALSE))</f>
        <v/>
      </c>
      <c r="Y510" s="95" t="e">
        <f t="shared" si="15"/>
        <v>#VALUE!</v>
      </c>
      <c r="Z510" s="6"/>
      <c r="AA510" s="6"/>
    </row>
    <row r="511" spans="1:27" ht="28.95" customHeight="1" x14ac:dyDescent="0.3">
      <c r="A511" s="91"/>
      <c r="B511" s="91"/>
      <c r="C511" s="80"/>
      <c r="D511" s="91"/>
      <c r="E511" s="80"/>
      <c r="F511" s="6"/>
      <c r="G511" s="6"/>
      <c r="H511" s="25"/>
      <c r="I511" s="133"/>
      <c r="J511" s="6"/>
      <c r="K511" s="6"/>
      <c r="L511" s="6"/>
      <c r="M511" s="6"/>
      <c r="N511" s="84"/>
      <c r="O511" s="80" t="str">
        <f>IF(N511="","",VLOOKUP(N511,ROLES!B:C,2,FALSE))</f>
        <v/>
      </c>
      <c r="P511" s="15"/>
      <c r="Q511" s="15"/>
      <c r="R511" s="16">
        <f t="shared" si="16"/>
        <v>0</v>
      </c>
      <c r="S511" s="16"/>
      <c r="T511" s="80" t="str">
        <f>IF(S511="","",VLOOKUP(S511,VALORACION!F:G,2,FALSE))</f>
        <v/>
      </c>
      <c r="U511" s="11"/>
      <c r="V511" s="80" t="str">
        <f>IF(U511="","",VLOOKUP(U511,ROLES!G:H,2,FALSE))</f>
        <v/>
      </c>
      <c r="W511" s="11"/>
      <c r="X511" s="80" t="str">
        <f>IF(W511="","",VLOOKUP(W511,ROLES!I:J,2,FALSE))</f>
        <v/>
      </c>
      <c r="Y511" s="95" t="e">
        <f t="shared" si="15"/>
        <v>#VALUE!</v>
      </c>
      <c r="Z511" s="6"/>
      <c r="AA511" s="6"/>
    </row>
    <row r="512" spans="1:27" ht="28.95" customHeight="1" x14ac:dyDescent="0.3">
      <c r="A512" s="91"/>
      <c r="B512" s="91"/>
      <c r="C512" s="80"/>
      <c r="D512" s="91"/>
      <c r="E512" s="80"/>
      <c r="F512" s="6"/>
      <c r="G512" s="6"/>
      <c r="H512" s="25"/>
      <c r="I512" s="133"/>
      <c r="J512" s="6"/>
      <c r="K512" s="6"/>
      <c r="L512" s="6"/>
      <c r="M512" s="6"/>
      <c r="N512" s="84"/>
      <c r="O512" s="80" t="str">
        <f>IF(N512="","",VLOOKUP(N512,ROLES!B:C,2,FALSE))</f>
        <v/>
      </c>
      <c r="P512" s="15"/>
      <c r="Q512" s="15"/>
      <c r="R512" s="16">
        <f t="shared" si="16"/>
        <v>0</v>
      </c>
      <c r="S512" s="16"/>
      <c r="T512" s="80" t="str">
        <f>IF(S512="","",VLOOKUP(S512,VALORACION!F:G,2,FALSE))</f>
        <v/>
      </c>
      <c r="U512" s="11"/>
      <c r="V512" s="80" t="str">
        <f>IF(U512="","",VLOOKUP(U512,ROLES!G:H,2,FALSE))</f>
        <v/>
      </c>
      <c r="W512" s="11"/>
      <c r="X512" s="80" t="str">
        <f>IF(W512="","",VLOOKUP(W512,ROLES!I:J,2,FALSE))</f>
        <v/>
      </c>
      <c r="Y512" s="95" t="e">
        <f t="shared" si="15"/>
        <v>#VALUE!</v>
      </c>
      <c r="Z512" s="6"/>
      <c r="AA512" s="6"/>
    </row>
    <row r="513" spans="1:27" ht="28.95" customHeight="1" x14ac:dyDescent="0.3">
      <c r="A513" s="91"/>
      <c r="B513" s="91"/>
      <c r="C513" s="80"/>
      <c r="D513" s="91"/>
      <c r="E513" s="80"/>
      <c r="F513" s="6"/>
      <c r="G513" s="6"/>
      <c r="H513" s="25"/>
      <c r="I513" s="133"/>
      <c r="J513" s="6"/>
      <c r="K513" s="6"/>
      <c r="L513" s="6"/>
      <c r="M513" s="6"/>
      <c r="N513" s="84"/>
      <c r="O513" s="80" t="str">
        <f>IF(N513="","",VLOOKUP(N513,ROLES!B:C,2,FALSE))</f>
        <v/>
      </c>
      <c r="P513" s="15"/>
      <c r="Q513" s="15"/>
      <c r="R513" s="16">
        <f t="shared" si="16"/>
        <v>0</v>
      </c>
      <c r="S513" s="16"/>
      <c r="T513" s="80" t="str">
        <f>IF(S513="","",VLOOKUP(S513,VALORACION!F:G,2,FALSE))</f>
        <v/>
      </c>
      <c r="U513" s="11"/>
      <c r="V513" s="80" t="str">
        <f>IF(U513="","",VLOOKUP(U513,ROLES!G:H,2,FALSE))</f>
        <v/>
      </c>
      <c r="W513" s="11"/>
      <c r="X513" s="80" t="str">
        <f>IF(W513="","",VLOOKUP(W513,ROLES!I:J,2,FALSE))</f>
        <v/>
      </c>
      <c r="Y513" s="95" t="e">
        <f t="shared" si="15"/>
        <v>#VALUE!</v>
      </c>
      <c r="Z513" s="6"/>
      <c r="AA513" s="6"/>
    </row>
    <row r="514" spans="1:27" ht="28.95" customHeight="1" x14ac:dyDescent="0.3">
      <c r="A514" s="91"/>
      <c r="B514" s="91"/>
      <c r="C514" s="80"/>
      <c r="D514" s="91"/>
      <c r="E514" s="80"/>
      <c r="F514" s="6"/>
      <c r="G514" s="6"/>
      <c r="H514" s="25"/>
      <c r="I514" s="133"/>
      <c r="J514" s="6"/>
      <c r="K514" s="6"/>
      <c r="L514" s="6"/>
      <c r="M514" s="6"/>
      <c r="N514" s="84"/>
      <c r="O514" s="80" t="str">
        <f>IF(N514="","",VLOOKUP(N514,ROLES!B:C,2,FALSE))</f>
        <v/>
      </c>
      <c r="P514" s="15"/>
      <c r="Q514" s="15"/>
      <c r="R514" s="16">
        <f t="shared" si="16"/>
        <v>0</v>
      </c>
      <c r="S514" s="16"/>
      <c r="T514" s="80" t="str">
        <f>IF(S514="","",VLOOKUP(S514,VALORACION!F:G,2,FALSE))</f>
        <v/>
      </c>
      <c r="U514" s="11"/>
      <c r="V514" s="80" t="str">
        <f>IF(U514="","",VLOOKUP(U514,ROLES!G:H,2,FALSE))</f>
        <v/>
      </c>
      <c r="W514" s="11"/>
      <c r="X514" s="80" t="str">
        <f>IF(W514="","",VLOOKUP(W514,ROLES!I:J,2,FALSE))</f>
        <v/>
      </c>
      <c r="Y514" s="95" t="e">
        <f t="shared" si="15"/>
        <v>#VALUE!</v>
      </c>
      <c r="Z514" s="6"/>
      <c r="AA514" s="6"/>
    </row>
    <row r="515" spans="1:27" ht="28.95" customHeight="1" x14ac:dyDescent="0.3">
      <c r="A515" s="91"/>
      <c r="B515" s="91"/>
      <c r="C515" s="80"/>
      <c r="D515" s="91"/>
      <c r="E515" s="80"/>
      <c r="F515" s="6"/>
      <c r="G515" s="6"/>
      <c r="H515" s="25"/>
      <c r="I515" s="133"/>
      <c r="J515" s="6"/>
      <c r="K515" s="6"/>
      <c r="L515" s="6"/>
      <c r="M515" s="6"/>
      <c r="N515" s="84"/>
      <c r="O515" s="80" t="str">
        <f>IF(N515="","",VLOOKUP(N515,ROLES!B:C,2,FALSE))</f>
        <v/>
      </c>
      <c r="P515" s="15"/>
      <c r="Q515" s="15"/>
      <c r="R515" s="16">
        <f t="shared" si="16"/>
        <v>0</v>
      </c>
      <c r="S515" s="16"/>
      <c r="T515" s="80" t="str">
        <f>IF(S515="","",VLOOKUP(S515,VALORACION!F:G,2,FALSE))</f>
        <v/>
      </c>
      <c r="U515" s="11"/>
      <c r="V515" s="80" t="str">
        <f>IF(U515="","",VLOOKUP(U515,ROLES!G:H,2,FALSE))</f>
        <v/>
      </c>
      <c r="W515" s="11"/>
      <c r="X515" s="80" t="str">
        <f>IF(W515="","",VLOOKUP(W515,ROLES!I:J,2,FALSE))</f>
        <v/>
      </c>
      <c r="Y515" s="95" t="e">
        <f t="shared" si="15"/>
        <v>#VALUE!</v>
      </c>
      <c r="Z515" s="6"/>
      <c r="AA515" s="6"/>
    </row>
    <row r="516" spans="1:27" ht="28.95" customHeight="1" x14ac:dyDescent="0.3">
      <c r="A516" s="91"/>
      <c r="B516" s="91"/>
      <c r="C516" s="80"/>
      <c r="D516" s="91"/>
      <c r="E516" s="80"/>
      <c r="F516" s="6"/>
      <c r="G516" s="6"/>
      <c r="H516" s="25"/>
      <c r="I516" s="133"/>
      <c r="J516" s="6"/>
      <c r="K516" s="6"/>
      <c r="L516" s="6"/>
      <c r="M516" s="6"/>
      <c r="N516" s="84"/>
      <c r="O516" s="80" t="str">
        <f>IF(N516="","",VLOOKUP(N516,ROLES!B:C,2,FALSE))</f>
        <v/>
      </c>
      <c r="P516" s="15"/>
      <c r="Q516" s="15"/>
      <c r="R516" s="16">
        <f t="shared" si="16"/>
        <v>0</v>
      </c>
      <c r="S516" s="16"/>
      <c r="T516" s="80" t="str">
        <f>IF(S516="","",VLOOKUP(S516,VALORACION!F:G,2,FALSE))</f>
        <v/>
      </c>
      <c r="U516" s="11"/>
      <c r="V516" s="80" t="str">
        <f>IF(U516="","",VLOOKUP(U516,ROLES!G:H,2,FALSE))</f>
        <v/>
      </c>
      <c r="W516" s="11"/>
      <c r="X516" s="80" t="str">
        <f>IF(W516="","",VLOOKUP(W516,ROLES!I:J,2,FALSE))</f>
        <v/>
      </c>
      <c r="Y516" s="95" t="e">
        <f t="shared" si="15"/>
        <v>#VALUE!</v>
      </c>
      <c r="Z516" s="6"/>
      <c r="AA516" s="6"/>
    </row>
    <row r="517" spans="1:27" ht="28.95" customHeight="1" x14ac:dyDescent="0.3">
      <c r="A517" s="91"/>
      <c r="B517" s="91"/>
      <c r="C517" s="80"/>
      <c r="D517" s="91"/>
      <c r="E517" s="80"/>
      <c r="F517" s="6"/>
      <c r="G517" s="6"/>
      <c r="H517" s="25"/>
      <c r="I517" s="133"/>
      <c r="J517" s="6"/>
      <c r="K517" s="6"/>
      <c r="L517" s="6"/>
      <c r="M517" s="6"/>
      <c r="N517" s="84"/>
      <c r="O517" s="80" t="str">
        <f>IF(N517="","",VLOOKUP(N517,ROLES!B:C,2,FALSE))</f>
        <v/>
      </c>
      <c r="P517" s="15"/>
      <c r="Q517" s="15"/>
      <c r="R517" s="16">
        <f t="shared" si="16"/>
        <v>0</v>
      </c>
      <c r="S517" s="16"/>
      <c r="T517" s="80" t="str">
        <f>IF(S517="","",VLOOKUP(S517,VALORACION!F:G,2,FALSE))</f>
        <v/>
      </c>
      <c r="U517" s="11"/>
      <c r="V517" s="80" t="str">
        <f>IF(U517="","",VLOOKUP(U517,ROLES!G:H,2,FALSE))</f>
        <v/>
      </c>
      <c r="W517" s="11"/>
      <c r="X517" s="80" t="str">
        <f>IF(W517="","",VLOOKUP(W517,ROLES!I:J,2,FALSE))</f>
        <v/>
      </c>
      <c r="Y517" s="95" t="e">
        <f t="shared" ref="Y517:Y580" si="17">(VALUE(O517)+VALUE(V517)+VALUE(X517)+VALUE(T517))/3</f>
        <v>#VALUE!</v>
      </c>
      <c r="Z517" s="6"/>
      <c r="AA517" s="6"/>
    </row>
    <row r="518" spans="1:27" ht="28.95" customHeight="1" x14ac:dyDescent="0.3">
      <c r="A518" s="91"/>
      <c r="B518" s="91"/>
      <c r="C518" s="80"/>
      <c r="D518" s="91"/>
      <c r="E518" s="80"/>
      <c r="F518" s="6"/>
      <c r="G518" s="6"/>
      <c r="H518" s="25"/>
      <c r="I518" s="133"/>
      <c r="J518" s="6"/>
      <c r="K518" s="6"/>
      <c r="L518" s="6"/>
      <c r="M518" s="6"/>
      <c r="N518" s="84"/>
      <c r="O518" s="80" t="str">
        <f>IF(N518="","",VLOOKUP(N518,ROLES!B:C,2,FALSE))</f>
        <v/>
      </c>
      <c r="P518" s="15"/>
      <c r="Q518" s="15"/>
      <c r="R518" s="16">
        <f t="shared" si="16"/>
        <v>0</v>
      </c>
      <c r="S518" s="16"/>
      <c r="T518" s="80" t="str">
        <f>IF(S518="","",VLOOKUP(S518,VALORACION!F:G,2,FALSE))</f>
        <v/>
      </c>
      <c r="U518" s="11"/>
      <c r="V518" s="80" t="str">
        <f>IF(U518="","",VLOOKUP(U518,ROLES!G:H,2,FALSE))</f>
        <v/>
      </c>
      <c r="W518" s="11"/>
      <c r="X518" s="80" t="str">
        <f>IF(W518="","",VLOOKUP(W518,ROLES!I:J,2,FALSE))</f>
        <v/>
      </c>
      <c r="Y518" s="95" t="e">
        <f t="shared" si="17"/>
        <v>#VALUE!</v>
      </c>
      <c r="Z518" s="6"/>
      <c r="AA518" s="6"/>
    </row>
    <row r="519" spans="1:27" ht="28.95" customHeight="1" x14ac:dyDescent="0.3">
      <c r="A519" s="91"/>
      <c r="B519" s="91"/>
      <c r="C519" s="80"/>
      <c r="D519" s="91"/>
      <c r="E519" s="80"/>
      <c r="F519" s="6"/>
      <c r="G519" s="6"/>
      <c r="H519" s="25"/>
      <c r="I519" s="133"/>
      <c r="J519" s="6"/>
      <c r="K519" s="6"/>
      <c r="L519" s="6"/>
      <c r="M519" s="6"/>
      <c r="N519" s="84"/>
      <c r="O519" s="80" t="str">
        <f>IF(N519="","",VLOOKUP(N519,ROLES!B:C,2,FALSE))</f>
        <v/>
      </c>
      <c r="P519" s="15"/>
      <c r="Q519" s="15"/>
      <c r="R519" s="16">
        <f t="shared" ref="R519:R582" si="18">DATEDIF(P519,Q519,"m")</f>
        <v>0</v>
      </c>
      <c r="S519" s="16"/>
      <c r="T519" s="80" t="str">
        <f>IF(S519="","",VLOOKUP(S519,VALORACION!F:G,2,FALSE))</f>
        <v/>
      </c>
      <c r="U519" s="11"/>
      <c r="V519" s="80" t="str">
        <f>IF(U519="","",VLOOKUP(U519,ROLES!G:H,2,FALSE))</f>
        <v/>
      </c>
      <c r="W519" s="11"/>
      <c r="X519" s="80" t="str">
        <f>IF(W519="","",VLOOKUP(W519,ROLES!I:J,2,FALSE))</f>
        <v/>
      </c>
      <c r="Y519" s="95" t="e">
        <f t="shared" si="17"/>
        <v>#VALUE!</v>
      </c>
      <c r="Z519" s="6"/>
      <c r="AA519" s="6"/>
    </row>
    <row r="520" spans="1:27" ht="28.95" customHeight="1" x14ac:dyDescent="0.3">
      <c r="A520" s="91"/>
      <c r="B520" s="91"/>
      <c r="C520" s="80"/>
      <c r="D520" s="91"/>
      <c r="E520" s="80"/>
      <c r="F520" s="6"/>
      <c r="G520" s="6"/>
      <c r="H520" s="25"/>
      <c r="I520" s="133"/>
      <c r="J520" s="6"/>
      <c r="K520" s="6"/>
      <c r="L520" s="6"/>
      <c r="M520" s="6"/>
      <c r="N520" s="84"/>
      <c r="O520" s="80" t="str">
        <f>IF(N520="","",VLOOKUP(N520,ROLES!B:C,2,FALSE))</f>
        <v/>
      </c>
      <c r="P520" s="15"/>
      <c r="Q520" s="15"/>
      <c r="R520" s="16">
        <f t="shared" si="18"/>
        <v>0</v>
      </c>
      <c r="S520" s="16"/>
      <c r="T520" s="80" t="str">
        <f>IF(S520="","",VLOOKUP(S520,VALORACION!F:G,2,FALSE))</f>
        <v/>
      </c>
      <c r="U520" s="11"/>
      <c r="V520" s="80" t="str">
        <f>IF(U520="","",VLOOKUP(U520,ROLES!G:H,2,FALSE))</f>
        <v/>
      </c>
      <c r="W520" s="11"/>
      <c r="X520" s="80" t="str">
        <f>IF(W520="","",VLOOKUP(W520,ROLES!I:J,2,FALSE))</f>
        <v/>
      </c>
      <c r="Y520" s="95" t="e">
        <f t="shared" si="17"/>
        <v>#VALUE!</v>
      </c>
      <c r="Z520" s="6"/>
      <c r="AA520" s="6"/>
    </row>
    <row r="521" spans="1:27" ht="28.95" customHeight="1" x14ac:dyDescent="0.3">
      <c r="A521" s="91"/>
      <c r="B521" s="91"/>
      <c r="C521" s="80"/>
      <c r="D521" s="91"/>
      <c r="E521" s="80"/>
      <c r="F521" s="6"/>
      <c r="G521" s="6"/>
      <c r="H521" s="25"/>
      <c r="I521" s="133"/>
      <c r="J521" s="6"/>
      <c r="K521" s="6"/>
      <c r="L521" s="6"/>
      <c r="M521" s="6"/>
      <c r="N521" s="84"/>
      <c r="O521" s="80" t="str">
        <f>IF(N521="","",VLOOKUP(N521,ROLES!B:C,2,FALSE))</f>
        <v/>
      </c>
      <c r="P521" s="15"/>
      <c r="Q521" s="15"/>
      <c r="R521" s="16">
        <f t="shared" si="18"/>
        <v>0</v>
      </c>
      <c r="S521" s="16"/>
      <c r="T521" s="80" t="str">
        <f>IF(S521="","",VLOOKUP(S521,VALORACION!F:G,2,FALSE))</f>
        <v/>
      </c>
      <c r="U521" s="11"/>
      <c r="V521" s="80" t="str">
        <f>IF(U521="","",VLOOKUP(U521,ROLES!G:H,2,FALSE))</f>
        <v/>
      </c>
      <c r="W521" s="11"/>
      <c r="X521" s="80" t="str">
        <f>IF(W521="","",VLOOKUP(W521,ROLES!I:J,2,FALSE))</f>
        <v/>
      </c>
      <c r="Y521" s="95" t="e">
        <f t="shared" si="17"/>
        <v>#VALUE!</v>
      </c>
      <c r="Z521" s="6"/>
      <c r="AA521" s="6"/>
    </row>
    <row r="522" spans="1:27" ht="28.95" customHeight="1" x14ac:dyDescent="0.3">
      <c r="A522" s="91"/>
      <c r="B522" s="91"/>
      <c r="C522" s="80"/>
      <c r="D522" s="91"/>
      <c r="E522" s="80"/>
      <c r="F522" s="6"/>
      <c r="G522" s="6"/>
      <c r="H522" s="25"/>
      <c r="I522" s="133"/>
      <c r="J522" s="6"/>
      <c r="K522" s="6"/>
      <c r="L522" s="6"/>
      <c r="M522" s="6"/>
      <c r="N522" s="84"/>
      <c r="O522" s="80" t="str">
        <f>IF(N522="","",VLOOKUP(N522,ROLES!B:C,2,FALSE))</f>
        <v/>
      </c>
      <c r="P522" s="15"/>
      <c r="Q522" s="15"/>
      <c r="R522" s="16">
        <f t="shared" si="18"/>
        <v>0</v>
      </c>
      <c r="S522" s="16"/>
      <c r="T522" s="80" t="str">
        <f>IF(S522="","",VLOOKUP(S522,VALORACION!F:G,2,FALSE))</f>
        <v/>
      </c>
      <c r="U522" s="11"/>
      <c r="V522" s="80" t="str">
        <f>IF(U522="","",VLOOKUP(U522,ROLES!G:H,2,FALSE))</f>
        <v/>
      </c>
      <c r="W522" s="11"/>
      <c r="X522" s="80" t="str">
        <f>IF(W522="","",VLOOKUP(W522,ROLES!I:J,2,FALSE))</f>
        <v/>
      </c>
      <c r="Y522" s="95" t="e">
        <f t="shared" si="17"/>
        <v>#VALUE!</v>
      </c>
      <c r="Z522" s="6"/>
      <c r="AA522" s="6"/>
    </row>
    <row r="523" spans="1:27" ht="28.95" customHeight="1" x14ac:dyDescent="0.3">
      <c r="A523" s="91"/>
      <c r="B523" s="91"/>
      <c r="C523" s="80"/>
      <c r="D523" s="91"/>
      <c r="E523" s="80"/>
      <c r="F523" s="6"/>
      <c r="G523" s="6"/>
      <c r="H523" s="25"/>
      <c r="I523" s="133"/>
      <c r="J523" s="6"/>
      <c r="K523" s="6"/>
      <c r="L523" s="6"/>
      <c r="M523" s="6"/>
      <c r="N523" s="84"/>
      <c r="O523" s="80" t="str">
        <f>IF(N523="","",VLOOKUP(N523,ROLES!B:C,2,FALSE))</f>
        <v/>
      </c>
      <c r="P523" s="15"/>
      <c r="Q523" s="15"/>
      <c r="R523" s="16">
        <f t="shared" si="18"/>
        <v>0</v>
      </c>
      <c r="S523" s="16"/>
      <c r="T523" s="80" t="str">
        <f>IF(S523="","",VLOOKUP(S523,VALORACION!F:G,2,FALSE))</f>
        <v/>
      </c>
      <c r="U523" s="11"/>
      <c r="V523" s="80" t="str">
        <f>IF(U523="","",VLOOKUP(U523,ROLES!G:H,2,FALSE))</f>
        <v/>
      </c>
      <c r="W523" s="11"/>
      <c r="X523" s="80" t="str">
        <f>IF(W523="","",VLOOKUP(W523,ROLES!I:J,2,FALSE))</f>
        <v/>
      </c>
      <c r="Y523" s="95" t="e">
        <f t="shared" si="17"/>
        <v>#VALUE!</v>
      </c>
      <c r="Z523" s="6"/>
      <c r="AA523" s="6"/>
    </row>
    <row r="524" spans="1:27" ht="28.95" customHeight="1" x14ac:dyDescent="0.3">
      <c r="A524" s="91"/>
      <c r="B524" s="91"/>
      <c r="C524" s="80"/>
      <c r="D524" s="91"/>
      <c r="E524" s="80"/>
      <c r="F524" s="6"/>
      <c r="G524" s="6"/>
      <c r="H524" s="25"/>
      <c r="I524" s="133"/>
      <c r="J524" s="6"/>
      <c r="K524" s="6"/>
      <c r="L524" s="6"/>
      <c r="M524" s="6"/>
      <c r="N524" s="84"/>
      <c r="O524" s="80" t="str">
        <f>IF(N524="","",VLOOKUP(N524,ROLES!B:C,2,FALSE))</f>
        <v/>
      </c>
      <c r="P524" s="15"/>
      <c r="Q524" s="15"/>
      <c r="R524" s="16">
        <f t="shared" si="18"/>
        <v>0</v>
      </c>
      <c r="S524" s="16"/>
      <c r="T524" s="80" t="str">
        <f>IF(S524="","",VLOOKUP(S524,VALORACION!F:G,2,FALSE))</f>
        <v/>
      </c>
      <c r="U524" s="11"/>
      <c r="V524" s="80" t="str">
        <f>IF(U524="","",VLOOKUP(U524,ROLES!G:H,2,FALSE))</f>
        <v/>
      </c>
      <c r="W524" s="11"/>
      <c r="X524" s="80" t="str">
        <f>IF(W524="","",VLOOKUP(W524,ROLES!I:J,2,FALSE))</f>
        <v/>
      </c>
      <c r="Y524" s="95" t="e">
        <f t="shared" si="17"/>
        <v>#VALUE!</v>
      </c>
      <c r="Z524" s="6"/>
      <c r="AA524" s="6"/>
    </row>
    <row r="525" spans="1:27" ht="28.95" customHeight="1" x14ac:dyDescent="0.3">
      <c r="A525" s="91"/>
      <c r="B525" s="91"/>
      <c r="C525" s="80"/>
      <c r="D525" s="91"/>
      <c r="E525" s="80"/>
      <c r="F525" s="6"/>
      <c r="G525" s="6"/>
      <c r="H525" s="25"/>
      <c r="I525" s="133"/>
      <c r="J525" s="6"/>
      <c r="K525" s="6"/>
      <c r="L525" s="6"/>
      <c r="M525" s="6"/>
      <c r="N525" s="84"/>
      <c r="O525" s="80" t="str">
        <f>IF(N525="","",VLOOKUP(N525,ROLES!B:C,2,FALSE))</f>
        <v/>
      </c>
      <c r="P525" s="15"/>
      <c r="Q525" s="15"/>
      <c r="R525" s="16">
        <f t="shared" si="18"/>
        <v>0</v>
      </c>
      <c r="S525" s="16"/>
      <c r="T525" s="80" t="str">
        <f>IF(S525="","",VLOOKUP(S525,VALORACION!F:G,2,FALSE))</f>
        <v/>
      </c>
      <c r="U525" s="11"/>
      <c r="V525" s="80" t="str">
        <f>IF(U525="","",VLOOKUP(U525,ROLES!G:H,2,FALSE))</f>
        <v/>
      </c>
      <c r="W525" s="11"/>
      <c r="X525" s="80" t="str">
        <f>IF(W525="","",VLOOKUP(W525,ROLES!I:J,2,FALSE))</f>
        <v/>
      </c>
      <c r="Y525" s="95" t="e">
        <f t="shared" si="17"/>
        <v>#VALUE!</v>
      </c>
      <c r="Z525" s="6"/>
      <c r="AA525" s="6"/>
    </row>
    <row r="526" spans="1:27" ht="28.95" customHeight="1" x14ac:dyDescent="0.3">
      <c r="A526" s="91"/>
      <c r="B526" s="91"/>
      <c r="C526" s="80"/>
      <c r="D526" s="91"/>
      <c r="E526" s="80"/>
      <c r="F526" s="6"/>
      <c r="G526" s="6"/>
      <c r="H526" s="25"/>
      <c r="I526" s="133"/>
      <c r="J526" s="6"/>
      <c r="K526" s="6"/>
      <c r="L526" s="6"/>
      <c r="M526" s="6"/>
      <c r="N526" s="84"/>
      <c r="O526" s="80" t="str">
        <f>IF(N526="","",VLOOKUP(N526,ROLES!B:C,2,FALSE))</f>
        <v/>
      </c>
      <c r="P526" s="15"/>
      <c r="Q526" s="15"/>
      <c r="R526" s="16">
        <f t="shared" si="18"/>
        <v>0</v>
      </c>
      <c r="S526" s="16"/>
      <c r="T526" s="80" t="str">
        <f>IF(S526="","",VLOOKUP(S526,VALORACION!F:G,2,FALSE))</f>
        <v/>
      </c>
      <c r="U526" s="11"/>
      <c r="V526" s="80" t="str">
        <f>IF(U526="","",VLOOKUP(U526,ROLES!G:H,2,FALSE))</f>
        <v/>
      </c>
      <c r="W526" s="11"/>
      <c r="X526" s="80" t="str">
        <f>IF(W526="","",VLOOKUP(W526,ROLES!I:J,2,FALSE))</f>
        <v/>
      </c>
      <c r="Y526" s="95" t="e">
        <f t="shared" si="17"/>
        <v>#VALUE!</v>
      </c>
      <c r="Z526" s="6"/>
      <c r="AA526" s="6"/>
    </row>
    <row r="527" spans="1:27" ht="28.95" customHeight="1" x14ac:dyDescent="0.3">
      <c r="A527" s="91"/>
      <c r="B527" s="91"/>
      <c r="C527" s="80"/>
      <c r="D527" s="91"/>
      <c r="E527" s="80"/>
      <c r="F527" s="6"/>
      <c r="G527" s="6"/>
      <c r="H527" s="25"/>
      <c r="I527" s="133"/>
      <c r="J527" s="6"/>
      <c r="K527" s="6"/>
      <c r="L527" s="6"/>
      <c r="M527" s="6"/>
      <c r="N527" s="84"/>
      <c r="O527" s="80" t="str">
        <f>IF(N527="","",VLOOKUP(N527,ROLES!B:C,2,FALSE))</f>
        <v/>
      </c>
      <c r="P527" s="15"/>
      <c r="Q527" s="15"/>
      <c r="R527" s="16">
        <f t="shared" si="18"/>
        <v>0</v>
      </c>
      <c r="S527" s="16"/>
      <c r="T527" s="80" t="str">
        <f>IF(S527="","",VLOOKUP(S527,VALORACION!F:G,2,FALSE))</f>
        <v/>
      </c>
      <c r="U527" s="11"/>
      <c r="V527" s="80" t="str">
        <f>IF(U527="","",VLOOKUP(U527,ROLES!G:H,2,FALSE))</f>
        <v/>
      </c>
      <c r="W527" s="11"/>
      <c r="X527" s="80" t="str">
        <f>IF(W527="","",VLOOKUP(W527,ROLES!I:J,2,FALSE))</f>
        <v/>
      </c>
      <c r="Y527" s="95" t="e">
        <f t="shared" si="17"/>
        <v>#VALUE!</v>
      </c>
      <c r="Z527" s="6"/>
      <c r="AA527" s="6"/>
    </row>
    <row r="528" spans="1:27" ht="28.95" customHeight="1" x14ac:dyDescent="0.3">
      <c r="A528" s="91"/>
      <c r="B528" s="91"/>
      <c r="C528" s="80"/>
      <c r="D528" s="91"/>
      <c r="E528" s="80"/>
      <c r="F528" s="6"/>
      <c r="G528" s="6"/>
      <c r="H528" s="25"/>
      <c r="I528" s="133"/>
      <c r="J528" s="6"/>
      <c r="K528" s="6"/>
      <c r="L528" s="6"/>
      <c r="M528" s="6"/>
      <c r="N528" s="84"/>
      <c r="O528" s="80" t="str">
        <f>IF(N528="","",VLOOKUP(N528,ROLES!B:C,2,FALSE))</f>
        <v/>
      </c>
      <c r="P528" s="15"/>
      <c r="Q528" s="15"/>
      <c r="R528" s="16">
        <f t="shared" si="18"/>
        <v>0</v>
      </c>
      <c r="S528" s="16"/>
      <c r="T528" s="80" t="str">
        <f>IF(S528="","",VLOOKUP(S528,VALORACION!F:G,2,FALSE))</f>
        <v/>
      </c>
      <c r="U528" s="11"/>
      <c r="V528" s="80" t="str">
        <f>IF(U528="","",VLOOKUP(U528,ROLES!G:H,2,FALSE))</f>
        <v/>
      </c>
      <c r="W528" s="11"/>
      <c r="X528" s="80" t="str">
        <f>IF(W528="","",VLOOKUP(W528,ROLES!I:J,2,FALSE))</f>
        <v/>
      </c>
      <c r="Y528" s="95" t="e">
        <f t="shared" si="17"/>
        <v>#VALUE!</v>
      </c>
      <c r="Z528" s="6"/>
      <c r="AA528" s="6"/>
    </row>
    <row r="529" spans="1:27" ht="28.95" customHeight="1" x14ac:dyDescent="0.3">
      <c r="A529" s="91"/>
      <c r="B529" s="91"/>
      <c r="C529" s="80"/>
      <c r="D529" s="91"/>
      <c r="E529" s="80"/>
      <c r="F529" s="6"/>
      <c r="G529" s="6"/>
      <c r="H529" s="25"/>
      <c r="I529" s="133"/>
      <c r="J529" s="6"/>
      <c r="K529" s="6"/>
      <c r="L529" s="6"/>
      <c r="M529" s="6"/>
      <c r="N529" s="84"/>
      <c r="O529" s="80" t="str">
        <f>IF(N529="","",VLOOKUP(N529,ROLES!B:C,2,FALSE))</f>
        <v/>
      </c>
      <c r="P529" s="15"/>
      <c r="Q529" s="15"/>
      <c r="R529" s="16">
        <f t="shared" si="18"/>
        <v>0</v>
      </c>
      <c r="S529" s="16"/>
      <c r="T529" s="80" t="str">
        <f>IF(S529="","",VLOOKUP(S529,VALORACION!F:G,2,FALSE))</f>
        <v/>
      </c>
      <c r="U529" s="11"/>
      <c r="V529" s="80" t="str">
        <f>IF(U529="","",VLOOKUP(U529,ROLES!G:H,2,FALSE))</f>
        <v/>
      </c>
      <c r="W529" s="11"/>
      <c r="X529" s="80" t="str">
        <f>IF(W529="","",VLOOKUP(W529,ROLES!I:J,2,FALSE))</f>
        <v/>
      </c>
      <c r="Y529" s="95" t="e">
        <f t="shared" si="17"/>
        <v>#VALUE!</v>
      </c>
      <c r="Z529" s="6"/>
      <c r="AA529" s="6"/>
    </row>
    <row r="530" spans="1:27" ht="28.95" customHeight="1" x14ac:dyDescent="0.3">
      <c r="A530" s="91"/>
      <c r="B530" s="91"/>
      <c r="C530" s="80"/>
      <c r="D530" s="91"/>
      <c r="E530" s="80"/>
      <c r="F530" s="6"/>
      <c r="G530" s="6"/>
      <c r="H530" s="25"/>
      <c r="I530" s="133"/>
      <c r="J530" s="6"/>
      <c r="K530" s="6"/>
      <c r="L530" s="6"/>
      <c r="M530" s="6"/>
      <c r="N530" s="84"/>
      <c r="O530" s="80" t="str">
        <f>IF(N530="","",VLOOKUP(N530,ROLES!B:C,2,FALSE))</f>
        <v/>
      </c>
      <c r="P530" s="15"/>
      <c r="Q530" s="15"/>
      <c r="R530" s="16">
        <f t="shared" si="18"/>
        <v>0</v>
      </c>
      <c r="S530" s="16"/>
      <c r="T530" s="80" t="str">
        <f>IF(S530="","",VLOOKUP(S530,VALORACION!F:G,2,FALSE))</f>
        <v/>
      </c>
      <c r="U530" s="11"/>
      <c r="V530" s="80" t="str">
        <f>IF(U530="","",VLOOKUP(U530,ROLES!G:H,2,FALSE))</f>
        <v/>
      </c>
      <c r="W530" s="11"/>
      <c r="X530" s="80" t="str">
        <f>IF(W530="","",VLOOKUP(W530,ROLES!I:J,2,FALSE))</f>
        <v/>
      </c>
      <c r="Y530" s="95" t="e">
        <f t="shared" si="17"/>
        <v>#VALUE!</v>
      </c>
      <c r="Z530" s="6"/>
      <c r="AA530" s="6"/>
    </row>
    <row r="531" spans="1:27" ht="28.95" customHeight="1" x14ac:dyDescent="0.3">
      <c r="A531" s="91"/>
      <c r="B531" s="91"/>
      <c r="C531" s="80"/>
      <c r="D531" s="91"/>
      <c r="E531" s="80"/>
      <c r="F531" s="6"/>
      <c r="G531" s="6"/>
      <c r="H531" s="25"/>
      <c r="I531" s="133"/>
      <c r="J531" s="6"/>
      <c r="K531" s="6"/>
      <c r="L531" s="6"/>
      <c r="M531" s="6"/>
      <c r="N531" s="84"/>
      <c r="O531" s="80" t="str">
        <f>IF(N531="","",VLOOKUP(N531,ROLES!B:C,2,FALSE))</f>
        <v/>
      </c>
      <c r="P531" s="15"/>
      <c r="Q531" s="15"/>
      <c r="R531" s="16">
        <f t="shared" si="18"/>
        <v>0</v>
      </c>
      <c r="S531" s="16"/>
      <c r="T531" s="80" t="str">
        <f>IF(S531="","",VLOOKUP(S531,VALORACION!F:G,2,FALSE))</f>
        <v/>
      </c>
      <c r="U531" s="11"/>
      <c r="V531" s="80" t="str">
        <f>IF(U531="","",VLOOKUP(U531,ROLES!G:H,2,FALSE))</f>
        <v/>
      </c>
      <c r="W531" s="11"/>
      <c r="X531" s="80" t="str">
        <f>IF(W531="","",VLOOKUP(W531,ROLES!I:J,2,FALSE))</f>
        <v/>
      </c>
      <c r="Y531" s="95" t="e">
        <f t="shared" si="17"/>
        <v>#VALUE!</v>
      </c>
      <c r="Z531" s="6"/>
      <c r="AA531" s="6"/>
    </row>
    <row r="532" spans="1:27" ht="28.95" customHeight="1" x14ac:dyDescent="0.3">
      <c r="A532" s="91"/>
      <c r="B532" s="91"/>
      <c r="C532" s="80"/>
      <c r="D532" s="91"/>
      <c r="E532" s="80"/>
      <c r="F532" s="6"/>
      <c r="G532" s="6"/>
      <c r="H532" s="25"/>
      <c r="I532" s="133"/>
      <c r="J532" s="6"/>
      <c r="K532" s="6"/>
      <c r="L532" s="6"/>
      <c r="M532" s="6"/>
      <c r="N532" s="84"/>
      <c r="O532" s="80" t="str">
        <f>IF(N532="","",VLOOKUP(N532,ROLES!B:C,2,FALSE))</f>
        <v/>
      </c>
      <c r="P532" s="15"/>
      <c r="Q532" s="15"/>
      <c r="R532" s="16">
        <f t="shared" si="18"/>
        <v>0</v>
      </c>
      <c r="S532" s="16"/>
      <c r="T532" s="80" t="str">
        <f>IF(S532="","",VLOOKUP(S532,VALORACION!F:G,2,FALSE))</f>
        <v/>
      </c>
      <c r="U532" s="11"/>
      <c r="V532" s="80" t="str">
        <f>IF(U532="","",VLOOKUP(U532,ROLES!G:H,2,FALSE))</f>
        <v/>
      </c>
      <c r="W532" s="11"/>
      <c r="X532" s="80" t="str">
        <f>IF(W532="","",VLOOKUP(W532,ROLES!I:J,2,FALSE))</f>
        <v/>
      </c>
      <c r="Y532" s="95" t="e">
        <f t="shared" si="17"/>
        <v>#VALUE!</v>
      </c>
      <c r="Z532" s="6"/>
      <c r="AA532" s="6"/>
    </row>
    <row r="533" spans="1:27" ht="28.95" customHeight="1" x14ac:dyDescent="0.3">
      <c r="A533" s="91"/>
      <c r="B533" s="91"/>
      <c r="C533" s="80"/>
      <c r="D533" s="91"/>
      <c r="E533" s="80"/>
      <c r="F533" s="6"/>
      <c r="G533" s="6"/>
      <c r="H533" s="25"/>
      <c r="I533" s="133"/>
      <c r="J533" s="6"/>
      <c r="K533" s="6"/>
      <c r="L533" s="6"/>
      <c r="M533" s="6"/>
      <c r="N533" s="84"/>
      <c r="O533" s="80" t="str">
        <f>IF(N533="","",VLOOKUP(N533,ROLES!B:C,2,FALSE))</f>
        <v/>
      </c>
      <c r="P533" s="15"/>
      <c r="Q533" s="15"/>
      <c r="R533" s="16">
        <f t="shared" si="18"/>
        <v>0</v>
      </c>
      <c r="S533" s="16"/>
      <c r="T533" s="80" t="str">
        <f>IF(S533="","",VLOOKUP(S533,VALORACION!F:G,2,FALSE))</f>
        <v/>
      </c>
      <c r="U533" s="11"/>
      <c r="V533" s="80" t="str">
        <f>IF(U533="","",VLOOKUP(U533,ROLES!G:H,2,FALSE))</f>
        <v/>
      </c>
      <c r="W533" s="11"/>
      <c r="X533" s="80" t="str">
        <f>IF(W533="","",VLOOKUP(W533,ROLES!I:J,2,FALSE))</f>
        <v/>
      </c>
      <c r="Y533" s="95" t="e">
        <f t="shared" si="17"/>
        <v>#VALUE!</v>
      </c>
      <c r="Z533" s="6"/>
      <c r="AA533" s="6"/>
    </row>
    <row r="534" spans="1:27" ht="28.95" customHeight="1" x14ac:dyDescent="0.3">
      <c r="A534" s="91"/>
      <c r="B534" s="91"/>
      <c r="C534" s="80"/>
      <c r="D534" s="91"/>
      <c r="E534" s="80"/>
      <c r="F534" s="6"/>
      <c r="G534" s="6"/>
      <c r="H534" s="25"/>
      <c r="I534" s="133"/>
      <c r="J534" s="6"/>
      <c r="K534" s="6"/>
      <c r="L534" s="6"/>
      <c r="M534" s="6"/>
      <c r="N534" s="84"/>
      <c r="O534" s="80" t="str">
        <f>IF(N534="","",VLOOKUP(N534,ROLES!B:C,2,FALSE))</f>
        <v/>
      </c>
      <c r="P534" s="15"/>
      <c r="Q534" s="15"/>
      <c r="R534" s="16">
        <f t="shared" si="18"/>
        <v>0</v>
      </c>
      <c r="S534" s="16"/>
      <c r="T534" s="80" t="str">
        <f>IF(S534="","",VLOOKUP(S534,VALORACION!F:G,2,FALSE))</f>
        <v/>
      </c>
      <c r="U534" s="11"/>
      <c r="V534" s="80" t="str">
        <f>IF(U534="","",VLOOKUP(U534,ROLES!G:H,2,FALSE))</f>
        <v/>
      </c>
      <c r="W534" s="11"/>
      <c r="X534" s="80" t="str">
        <f>IF(W534="","",VLOOKUP(W534,ROLES!I:J,2,FALSE))</f>
        <v/>
      </c>
      <c r="Y534" s="95" t="e">
        <f t="shared" si="17"/>
        <v>#VALUE!</v>
      </c>
      <c r="Z534" s="6"/>
      <c r="AA534" s="6"/>
    </row>
    <row r="535" spans="1:27" ht="28.95" customHeight="1" x14ac:dyDescent="0.3">
      <c r="A535" s="91"/>
      <c r="B535" s="91"/>
      <c r="C535" s="80"/>
      <c r="D535" s="91"/>
      <c r="E535" s="80"/>
      <c r="F535" s="6"/>
      <c r="G535" s="6"/>
      <c r="H535" s="25"/>
      <c r="I535" s="133"/>
      <c r="J535" s="6"/>
      <c r="K535" s="6"/>
      <c r="L535" s="6"/>
      <c r="M535" s="6"/>
      <c r="N535" s="84"/>
      <c r="O535" s="80" t="str">
        <f>IF(N535="","",VLOOKUP(N535,ROLES!B:C,2,FALSE))</f>
        <v/>
      </c>
      <c r="P535" s="15"/>
      <c r="Q535" s="15"/>
      <c r="R535" s="16">
        <f t="shared" si="18"/>
        <v>0</v>
      </c>
      <c r="S535" s="16"/>
      <c r="T535" s="80" t="str">
        <f>IF(S535="","",VLOOKUP(S535,VALORACION!F:G,2,FALSE))</f>
        <v/>
      </c>
      <c r="U535" s="11"/>
      <c r="V535" s="80" t="str">
        <f>IF(U535="","",VLOOKUP(U535,ROLES!G:H,2,FALSE))</f>
        <v/>
      </c>
      <c r="W535" s="11"/>
      <c r="X535" s="80" t="str">
        <f>IF(W535="","",VLOOKUP(W535,ROLES!I:J,2,FALSE))</f>
        <v/>
      </c>
      <c r="Y535" s="95" t="e">
        <f t="shared" si="17"/>
        <v>#VALUE!</v>
      </c>
      <c r="Z535" s="6"/>
      <c r="AA535" s="6"/>
    </row>
    <row r="536" spans="1:27" ht="28.95" customHeight="1" x14ac:dyDescent="0.3">
      <c r="A536" s="91"/>
      <c r="B536" s="91"/>
      <c r="C536" s="80"/>
      <c r="D536" s="91"/>
      <c r="E536" s="80"/>
      <c r="F536" s="6"/>
      <c r="G536" s="6"/>
      <c r="H536" s="25"/>
      <c r="I536" s="133"/>
      <c r="J536" s="6"/>
      <c r="K536" s="6"/>
      <c r="L536" s="6"/>
      <c r="M536" s="6"/>
      <c r="N536" s="84"/>
      <c r="O536" s="80" t="str">
        <f>IF(N536="","",VLOOKUP(N536,ROLES!B:C,2,FALSE))</f>
        <v/>
      </c>
      <c r="P536" s="15"/>
      <c r="Q536" s="15"/>
      <c r="R536" s="16">
        <f t="shared" si="18"/>
        <v>0</v>
      </c>
      <c r="S536" s="16"/>
      <c r="T536" s="80" t="str">
        <f>IF(S536="","",VLOOKUP(S536,VALORACION!F:G,2,FALSE))</f>
        <v/>
      </c>
      <c r="U536" s="11"/>
      <c r="V536" s="80" t="str">
        <f>IF(U536="","",VLOOKUP(U536,ROLES!G:H,2,FALSE))</f>
        <v/>
      </c>
      <c r="W536" s="11"/>
      <c r="X536" s="80" t="str">
        <f>IF(W536="","",VLOOKUP(W536,ROLES!I:J,2,FALSE))</f>
        <v/>
      </c>
      <c r="Y536" s="95" t="e">
        <f t="shared" si="17"/>
        <v>#VALUE!</v>
      </c>
      <c r="Z536" s="6"/>
      <c r="AA536" s="6"/>
    </row>
    <row r="537" spans="1:27" ht="28.95" customHeight="1" x14ac:dyDescent="0.3">
      <c r="A537" s="91"/>
      <c r="B537" s="91"/>
      <c r="C537" s="80"/>
      <c r="D537" s="91"/>
      <c r="E537" s="80"/>
      <c r="F537" s="6"/>
      <c r="G537" s="6"/>
      <c r="H537" s="25"/>
      <c r="I537" s="133"/>
      <c r="J537" s="6"/>
      <c r="K537" s="6"/>
      <c r="L537" s="6"/>
      <c r="M537" s="6"/>
      <c r="N537" s="84"/>
      <c r="O537" s="80" t="str">
        <f>IF(N537="","",VLOOKUP(N537,ROLES!B:C,2,FALSE))</f>
        <v/>
      </c>
      <c r="P537" s="15"/>
      <c r="Q537" s="15"/>
      <c r="R537" s="16">
        <f t="shared" si="18"/>
        <v>0</v>
      </c>
      <c r="S537" s="16"/>
      <c r="T537" s="80" t="str">
        <f>IF(S537="","",VLOOKUP(S537,VALORACION!F:G,2,FALSE))</f>
        <v/>
      </c>
      <c r="U537" s="11"/>
      <c r="V537" s="80" t="str">
        <f>IF(U537="","",VLOOKUP(U537,ROLES!G:H,2,FALSE))</f>
        <v/>
      </c>
      <c r="W537" s="11"/>
      <c r="X537" s="80" t="str">
        <f>IF(W537="","",VLOOKUP(W537,ROLES!I:J,2,FALSE))</f>
        <v/>
      </c>
      <c r="Y537" s="95" t="e">
        <f t="shared" si="17"/>
        <v>#VALUE!</v>
      </c>
      <c r="Z537" s="6"/>
      <c r="AA537" s="6"/>
    </row>
    <row r="538" spans="1:27" ht="28.95" customHeight="1" x14ac:dyDescent="0.3">
      <c r="A538" s="91"/>
      <c r="B538" s="91"/>
      <c r="C538" s="80"/>
      <c r="D538" s="91"/>
      <c r="E538" s="80"/>
      <c r="F538" s="6"/>
      <c r="G538" s="6"/>
      <c r="H538" s="25"/>
      <c r="I538" s="133"/>
      <c r="J538" s="6"/>
      <c r="K538" s="6"/>
      <c r="L538" s="6"/>
      <c r="M538" s="6"/>
      <c r="N538" s="84"/>
      <c r="O538" s="80" t="str">
        <f>IF(N538="","",VLOOKUP(N538,ROLES!B:C,2,FALSE))</f>
        <v/>
      </c>
      <c r="P538" s="15"/>
      <c r="Q538" s="15"/>
      <c r="R538" s="16">
        <f t="shared" si="18"/>
        <v>0</v>
      </c>
      <c r="S538" s="16"/>
      <c r="T538" s="80" t="str">
        <f>IF(S538="","",VLOOKUP(S538,VALORACION!F:G,2,FALSE))</f>
        <v/>
      </c>
      <c r="U538" s="11"/>
      <c r="V538" s="80" t="str">
        <f>IF(U538="","",VLOOKUP(U538,ROLES!G:H,2,FALSE))</f>
        <v/>
      </c>
      <c r="W538" s="11"/>
      <c r="X538" s="80" t="str">
        <f>IF(W538="","",VLOOKUP(W538,ROLES!I:J,2,FALSE))</f>
        <v/>
      </c>
      <c r="Y538" s="95" t="e">
        <f t="shared" si="17"/>
        <v>#VALUE!</v>
      </c>
      <c r="Z538" s="6"/>
      <c r="AA538" s="6"/>
    </row>
    <row r="539" spans="1:27" ht="28.95" customHeight="1" x14ac:dyDescent="0.3">
      <c r="A539" s="91"/>
      <c r="B539" s="91"/>
      <c r="C539" s="80"/>
      <c r="D539" s="91"/>
      <c r="E539" s="80"/>
      <c r="F539" s="6"/>
      <c r="G539" s="6"/>
      <c r="H539" s="25"/>
      <c r="I539" s="133"/>
      <c r="J539" s="6"/>
      <c r="K539" s="6"/>
      <c r="L539" s="6"/>
      <c r="M539" s="6"/>
      <c r="N539" s="84"/>
      <c r="O539" s="80" t="str">
        <f>IF(N539="","",VLOOKUP(N539,ROLES!B:C,2,FALSE))</f>
        <v/>
      </c>
      <c r="P539" s="15"/>
      <c r="Q539" s="15"/>
      <c r="R539" s="16">
        <f t="shared" si="18"/>
        <v>0</v>
      </c>
      <c r="S539" s="16"/>
      <c r="T539" s="80" t="str">
        <f>IF(S539="","",VLOOKUP(S539,VALORACION!F:G,2,FALSE))</f>
        <v/>
      </c>
      <c r="U539" s="11"/>
      <c r="V539" s="80" t="str">
        <f>IF(U539="","",VLOOKUP(U539,ROLES!G:H,2,FALSE))</f>
        <v/>
      </c>
      <c r="W539" s="11"/>
      <c r="X539" s="80" t="str">
        <f>IF(W539="","",VLOOKUP(W539,ROLES!I:J,2,FALSE))</f>
        <v/>
      </c>
      <c r="Y539" s="95" t="e">
        <f t="shared" si="17"/>
        <v>#VALUE!</v>
      </c>
      <c r="Z539" s="6"/>
      <c r="AA539" s="6"/>
    </row>
    <row r="540" spans="1:27" ht="28.95" customHeight="1" x14ac:dyDescent="0.3">
      <c r="A540" s="91"/>
      <c r="B540" s="91"/>
      <c r="C540" s="80"/>
      <c r="D540" s="91"/>
      <c r="E540" s="80"/>
      <c r="F540" s="6"/>
      <c r="G540" s="6"/>
      <c r="H540" s="25"/>
      <c r="I540" s="133"/>
      <c r="J540" s="6"/>
      <c r="K540" s="6"/>
      <c r="L540" s="6"/>
      <c r="M540" s="6"/>
      <c r="N540" s="84"/>
      <c r="O540" s="80" t="str">
        <f>IF(N540="","",VLOOKUP(N540,ROLES!B:C,2,FALSE))</f>
        <v/>
      </c>
      <c r="P540" s="15"/>
      <c r="Q540" s="15"/>
      <c r="R540" s="16">
        <f t="shared" si="18"/>
        <v>0</v>
      </c>
      <c r="S540" s="16"/>
      <c r="T540" s="80" t="str">
        <f>IF(S540="","",VLOOKUP(S540,VALORACION!F:G,2,FALSE))</f>
        <v/>
      </c>
      <c r="U540" s="11"/>
      <c r="V540" s="80" t="str">
        <f>IF(U540="","",VLOOKUP(U540,ROLES!G:H,2,FALSE))</f>
        <v/>
      </c>
      <c r="W540" s="11"/>
      <c r="X540" s="80" t="str">
        <f>IF(W540="","",VLOOKUP(W540,ROLES!I:J,2,FALSE))</f>
        <v/>
      </c>
      <c r="Y540" s="95" t="e">
        <f t="shared" si="17"/>
        <v>#VALUE!</v>
      </c>
      <c r="Z540" s="6"/>
      <c r="AA540" s="6"/>
    </row>
    <row r="541" spans="1:27" ht="28.95" customHeight="1" x14ac:dyDescent="0.3">
      <c r="A541" s="91"/>
      <c r="B541" s="91"/>
      <c r="C541" s="80"/>
      <c r="D541" s="91"/>
      <c r="E541" s="80"/>
      <c r="F541" s="6"/>
      <c r="G541" s="6"/>
      <c r="H541" s="25"/>
      <c r="I541" s="133"/>
      <c r="J541" s="6"/>
      <c r="K541" s="6"/>
      <c r="L541" s="6"/>
      <c r="M541" s="6"/>
      <c r="N541" s="84"/>
      <c r="O541" s="80" t="str">
        <f>IF(N541="","",VLOOKUP(N541,ROLES!B:C,2,FALSE))</f>
        <v/>
      </c>
      <c r="P541" s="15"/>
      <c r="Q541" s="15"/>
      <c r="R541" s="16">
        <f t="shared" si="18"/>
        <v>0</v>
      </c>
      <c r="S541" s="16"/>
      <c r="T541" s="80" t="str">
        <f>IF(S541="","",VLOOKUP(S541,VALORACION!F:G,2,FALSE))</f>
        <v/>
      </c>
      <c r="U541" s="11"/>
      <c r="V541" s="80" t="str">
        <f>IF(U541="","",VLOOKUP(U541,ROLES!G:H,2,FALSE))</f>
        <v/>
      </c>
      <c r="W541" s="11"/>
      <c r="X541" s="80" t="str">
        <f>IF(W541="","",VLOOKUP(W541,ROLES!I:J,2,FALSE))</f>
        <v/>
      </c>
      <c r="Y541" s="95" t="e">
        <f t="shared" si="17"/>
        <v>#VALUE!</v>
      </c>
      <c r="Z541" s="6"/>
      <c r="AA541" s="6"/>
    </row>
    <row r="542" spans="1:27" ht="28.95" customHeight="1" x14ac:dyDescent="0.3">
      <c r="A542" s="91"/>
      <c r="B542" s="91"/>
      <c r="C542" s="80"/>
      <c r="D542" s="91"/>
      <c r="E542" s="80"/>
      <c r="F542" s="6"/>
      <c r="G542" s="6"/>
      <c r="H542" s="25"/>
      <c r="I542" s="133"/>
      <c r="J542" s="6"/>
      <c r="K542" s="6"/>
      <c r="L542" s="6"/>
      <c r="M542" s="6"/>
      <c r="N542" s="84"/>
      <c r="O542" s="80" t="str">
        <f>IF(N542="","",VLOOKUP(N542,ROLES!B:C,2,FALSE))</f>
        <v/>
      </c>
      <c r="P542" s="15"/>
      <c r="Q542" s="15"/>
      <c r="R542" s="16">
        <f t="shared" si="18"/>
        <v>0</v>
      </c>
      <c r="S542" s="16"/>
      <c r="T542" s="80" t="str">
        <f>IF(S542="","",VLOOKUP(S542,VALORACION!F:G,2,FALSE))</f>
        <v/>
      </c>
      <c r="U542" s="11"/>
      <c r="V542" s="80" t="str">
        <f>IF(U542="","",VLOOKUP(U542,ROLES!G:H,2,FALSE))</f>
        <v/>
      </c>
      <c r="W542" s="11"/>
      <c r="X542" s="80" t="str">
        <f>IF(W542="","",VLOOKUP(W542,ROLES!I:J,2,FALSE))</f>
        <v/>
      </c>
      <c r="Y542" s="95" t="e">
        <f t="shared" si="17"/>
        <v>#VALUE!</v>
      </c>
      <c r="Z542" s="6"/>
      <c r="AA542" s="6"/>
    </row>
    <row r="543" spans="1:27" ht="28.95" customHeight="1" x14ac:dyDescent="0.3">
      <c r="A543" s="91"/>
      <c r="B543" s="91"/>
      <c r="C543" s="80"/>
      <c r="D543" s="91"/>
      <c r="E543" s="80"/>
      <c r="F543" s="6"/>
      <c r="G543" s="6"/>
      <c r="H543" s="25"/>
      <c r="I543" s="133"/>
      <c r="J543" s="6"/>
      <c r="K543" s="6"/>
      <c r="L543" s="6"/>
      <c r="M543" s="6"/>
      <c r="N543" s="84"/>
      <c r="O543" s="80" t="str">
        <f>IF(N543="","",VLOOKUP(N543,ROLES!B:C,2,FALSE))</f>
        <v/>
      </c>
      <c r="P543" s="15"/>
      <c r="Q543" s="15"/>
      <c r="R543" s="16">
        <f t="shared" si="18"/>
        <v>0</v>
      </c>
      <c r="S543" s="16"/>
      <c r="T543" s="80" t="str">
        <f>IF(S543="","",VLOOKUP(S543,VALORACION!F:G,2,FALSE))</f>
        <v/>
      </c>
      <c r="U543" s="11"/>
      <c r="V543" s="80" t="str">
        <f>IF(U543="","",VLOOKUP(U543,ROLES!G:H,2,FALSE))</f>
        <v/>
      </c>
      <c r="W543" s="11"/>
      <c r="X543" s="80" t="str">
        <f>IF(W543="","",VLOOKUP(W543,ROLES!I:J,2,FALSE))</f>
        <v/>
      </c>
      <c r="Y543" s="95" t="e">
        <f t="shared" si="17"/>
        <v>#VALUE!</v>
      </c>
      <c r="Z543" s="6"/>
      <c r="AA543" s="6"/>
    </row>
    <row r="544" spans="1:27" ht="28.95" customHeight="1" x14ac:dyDescent="0.3">
      <c r="A544" s="91"/>
      <c r="B544" s="91"/>
      <c r="C544" s="80"/>
      <c r="D544" s="91"/>
      <c r="E544" s="80"/>
      <c r="F544" s="6"/>
      <c r="G544" s="6"/>
      <c r="H544" s="25"/>
      <c r="I544" s="133"/>
      <c r="J544" s="6"/>
      <c r="K544" s="6"/>
      <c r="L544" s="6"/>
      <c r="M544" s="6"/>
      <c r="N544" s="84"/>
      <c r="O544" s="80" t="str">
        <f>IF(N544="","",VLOOKUP(N544,ROLES!B:C,2,FALSE))</f>
        <v/>
      </c>
      <c r="P544" s="15"/>
      <c r="Q544" s="15"/>
      <c r="R544" s="16">
        <f t="shared" si="18"/>
        <v>0</v>
      </c>
      <c r="S544" s="16"/>
      <c r="T544" s="80" t="str">
        <f>IF(S544="","",VLOOKUP(S544,VALORACION!F:G,2,FALSE))</f>
        <v/>
      </c>
      <c r="U544" s="11"/>
      <c r="V544" s="80" t="str">
        <f>IF(U544="","",VLOOKUP(U544,ROLES!G:H,2,FALSE))</f>
        <v/>
      </c>
      <c r="W544" s="11"/>
      <c r="X544" s="80" t="str">
        <f>IF(W544="","",VLOOKUP(W544,ROLES!I:J,2,FALSE))</f>
        <v/>
      </c>
      <c r="Y544" s="95" t="e">
        <f t="shared" si="17"/>
        <v>#VALUE!</v>
      </c>
      <c r="Z544" s="6"/>
      <c r="AA544" s="6"/>
    </row>
    <row r="545" spans="1:27" ht="28.95" customHeight="1" x14ac:dyDescent="0.3">
      <c r="A545" s="91"/>
      <c r="B545" s="91"/>
      <c r="C545" s="80"/>
      <c r="D545" s="91"/>
      <c r="E545" s="80"/>
      <c r="F545" s="6"/>
      <c r="G545" s="6"/>
      <c r="H545" s="25"/>
      <c r="I545" s="133"/>
      <c r="J545" s="6"/>
      <c r="K545" s="6"/>
      <c r="L545" s="6"/>
      <c r="M545" s="6"/>
      <c r="N545" s="84"/>
      <c r="O545" s="80" t="str">
        <f>IF(N545="","",VLOOKUP(N545,ROLES!B:C,2,FALSE))</f>
        <v/>
      </c>
      <c r="P545" s="15"/>
      <c r="Q545" s="15"/>
      <c r="R545" s="16">
        <f t="shared" si="18"/>
        <v>0</v>
      </c>
      <c r="S545" s="16"/>
      <c r="T545" s="80" t="str">
        <f>IF(S545="","",VLOOKUP(S545,VALORACION!F:G,2,FALSE))</f>
        <v/>
      </c>
      <c r="U545" s="11"/>
      <c r="V545" s="80" t="str">
        <f>IF(U545="","",VLOOKUP(U545,ROLES!G:H,2,FALSE))</f>
        <v/>
      </c>
      <c r="W545" s="11"/>
      <c r="X545" s="80" t="str">
        <f>IF(W545="","",VLOOKUP(W545,ROLES!I:J,2,FALSE))</f>
        <v/>
      </c>
      <c r="Y545" s="95" t="e">
        <f t="shared" si="17"/>
        <v>#VALUE!</v>
      </c>
      <c r="Z545" s="6"/>
      <c r="AA545" s="6"/>
    </row>
    <row r="546" spans="1:27" ht="28.95" customHeight="1" x14ac:dyDescent="0.3">
      <c r="A546" s="91"/>
      <c r="B546" s="91"/>
      <c r="C546" s="80"/>
      <c r="D546" s="91"/>
      <c r="E546" s="80"/>
      <c r="F546" s="6"/>
      <c r="G546" s="6"/>
      <c r="H546" s="25"/>
      <c r="I546" s="133"/>
      <c r="J546" s="6"/>
      <c r="K546" s="6"/>
      <c r="L546" s="6"/>
      <c r="M546" s="6"/>
      <c r="N546" s="84"/>
      <c r="O546" s="80" t="str">
        <f>IF(N546="","",VLOOKUP(N546,ROLES!B:C,2,FALSE))</f>
        <v/>
      </c>
      <c r="P546" s="15"/>
      <c r="Q546" s="15"/>
      <c r="R546" s="16">
        <f t="shared" si="18"/>
        <v>0</v>
      </c>
      <c r="S546" s="16"/>
      <c r="T546" s="80" t="str">
        <f>IF(S546="","",VLOOKUP(S546,VALORACION!F:G,2,FALSE))</f>
        <v/>
      </c>
      <c r="U546" s="11"/>
      <c r="V546" s="80" t="str">
        <f>IF(U546="","",VLOOKUP(U546,ROLES!G:H,2,FALSE))</f>
        <v/>
      </c>
      <c r="W546" s="11"/>
      <c r="X546" s="80" t="str">
        <f>IF(W546="","",VLOOKUP(W546,ROLES!I:J,2,FALSE))</f>
        <v/>
      </c>
      <c r="Y546" s="95" t="e">
        <f t="shared" si="17"/>
        <v>#VALUE!</v>
      </c>
      <c r="Z546" s="6"/>
      <c r="AA546" s="6"/>
    </row>
    <row r="547" spans="1:27" ht="28.95" customHeight="1" x14ac:dyDescent="0.3">
      <c r="A547" s="91"/>
      <c r="B547" s="91"/>
      <c r="C547" s="80"/>
      <c r="D547" s="91"/>
      <c r="E547" s="80"/>
      <c r="F547" s="6"/>
      <c r="G547" s="6"/>
      <c r="H547" s="25"/>
      <c r="I547" s="133"/>
      <c r="J547" s="6"/>
      <c r="K547" s="6"/>
      <c r="L547" s="6"/>
      <c r="M547" s="6"/>
      <c r="N547" s="84"/>
      <c r="O547" s="80" t="str">
        <f>IF(N547="","",VLOOKUP(N547,ROLES!B:C,2,FALSE))</f>
        <v/>
      </c>
      <c r="P547" s="15"/>
      <c r="Q547" s="15"/>
      <c r="R547" s="16">
        <f t="shared" si="18"/>
        <v>0</v>
      </c>
      <c r="S547" s="16"/>
      <c r="T547" s="80" t="str">
        <f>IF(S547="","",VLOOKUP(S547,VALORACION!F:G,2,FALSE))</f>
        <v/>
      </c>
      <c r="U547" s="11"/>
      <c r="V547" s="80" t="str">
        <f>IF(U547="","",VLOOKUP(U547,ROLES!G:H,2,FALSE))</f>
        <v/>
      </c>
      <c r="W547" s="11"/>
      <c r="X547" s="80" t="str">
        <f>IF(W547="","",VLOOKUP(W547,ROLES!I:J,2,FALSE))</f>
        <v/>
      </c>
      <c r="Y547" s="95" t="e">
        <f t="shared" si="17"/>
        <v>#VALUE!</v>
      </c>
      <c r="Z547" s="6"/>
      <c r="AA547" s="6"/>
    </row>
    <row r="548" spans="1:27" ht="28.95" customHeight="1" x14ac:dyDescent="0.3">
      <c r="A548" s="91"/>
      <c r="B548" s="91"/>
      <c r="C548" s="80"/>
      <c r="D548" s="91"/>
      <c r="E548" s="80"/>
      <c r="F548" s="6"/>
      <c r="G548" s="6"/>
      <c r="H548" s="25"/>
      <c r="I548" s="133"/>
      <c r="J548" s="6"/>
      <c r="K548" s="6"/>
      <c r="L548" s="6"/>
      <c r="M548" s="6"/>
      <c r="N548" s="84"/>
      <c r="O548" s="80" t="str">
        <f>IF(N548="","",VLOOKUP(N548,ROLES!B:C,2,FALSE))</f>
        <v/>
      </c>
      <c r="P548" s="15"/>
      <c r="Q548" s="15"/>
      <c r="R548" s="16">
        <f t="shared" si="18"/>
        <v>0</v>
      </c>
      <c r="S548" s="16"/>
      <c r="T548" s="80" t="str">
        <f>IF(S548="","",VLOOKUP(S548,VALORACION!F:G,2,FALSE))</f>
        <v/>
      </c>
      <c r="U548" s="11"/>
      <c r="V548" s="80" t="str">
        <f>IF(U548="","",VLOOKUP(U548,ROLES!G:H,2,FALSE))</f>
        <v/>
      </c>
      <c r="W548" s="11"/>
      <c r="X548" s="80" t="str">
        <f>IF(W548="","",VLOOKUP(W548,ROLES!I:J,2,FALSE))</f>
        <v/>
      </c>
      <c r="Y548" s="95" t="e">
        <f t="shared" si="17"/>
        <v>#VALUE!</v>
      </c>
      <c r="Z548" s="6"/>
      <c r="AA548" s="6"/>
    </row>
    <row r="549" spans="1:27" ht="28.95" customHeight="1" x14ac:dyDescent="0.3">
      <c r="A549" s="91"/>
      <c r="B549" s="91"/>
      <c r="C549" s="80"/>
      <c r="D549" s="91"/>
      <c r="E549" s="80"/>
      <c r="F549" s="6"/>
      <c r="G549" s="6"/>
      <c r="H549" s="25"/>
      <c r="I549" s="133"/>
      <c r="J549" s="6"/>
      <c r="K549" s="6"/>
      <c r="L549" s="6"/>
      <c r="M549" s="6"/>
      <c r="N549" s="84"/>
      <c r="O549" s="80" t="str">
        <f>IF(N549="","",VLOOKUP(N549,ROLES!B:C,2,FALSE))</f>
        <v/>
      </c>
      <c r="P549" s="15"/>
      <c r="Q549" s="15"/>
      <c r="R549" s="16">
        <f t="shared" si="18"/>
        <v>0</v>
      </c>
      <c r="S549" s="16"/>
      <c r="T549" s="80" t="str">
        <f>IF(S549="","",VLOOKUP(S549,VALORACION!F:G,2,FALSE))</f>
        <v/>
      </c>
      <c r="U549" s="11"/>
      <c r="V549" s="80" t="str">
        <f>IF(U549="","",VLOOKUP(U549,ROLES!G:H,2,FALSE))</f>
        <v/>
      </c>
      <c r="W549" s="11"/>
      <c r="X549" s="80" t="str">
        <f>IF(W549="","",VLOOKUP(W549,ROLES!I:J,2,FALSE))</f>
        <v/>
      </c>
      <c r="Y549" s="95" t="e">
        <f t="shared" si="17"/>
        <v>#VALUE!</v>
      </c>
      <c r="Z549" s="6"/>
      <c r="AA549" s="6"/>
    </row>
    <row r="550" spans="1:27" ht="28.95" customHeight="1" x14ac:dyDescent="0.3">
      <c r="A550" s="91"/>
      <c r="B550" s="91"/>
      <c r="C550" s="80"/>
      <c r="D550" s="91"/>
      <c r="E550" s="80"/>
      <c r="F550" s="6"/>
      <c r="G550" s="6"/>
      <c r="H550" s="25"/>
      <c r="I550" s="133"/>
      <c r="J550" s="6"/>
      <c r="K550" s="6"/>
      <c r="L550" s="6"/>
      <c r="M550" s="6"/>
      <c r="N550" s="84"/>
      <c r="O550" s="80" t="str">
        <f>IF(N550="","",VLOOKUP(N550,ROLES!B:C,2,FALSE))</f>
        <v/>
      </c>
      <c r="P550" s="15"/>
      <c r="Q550" s="15"/>
      <c r="R550" s="16">
        <f t="shared" si="18"/>
        <v>0</v>
      </c>
      <c r="S550" s="16"/>
      <c r="T550" s="80" t="str">
        <f>IF(S550="","",VLOOKUP(S550,VALORACION!F:G,2,FALSE))</f>
        <v/>
      </c>
      <c r="U550" s="11"/>
      <c r="V550" s="80" t="str">
        <f>IF(U550="","",VLOOKUP(U550,ROLES!G:H,2,FALSE))</f>
        <v/>
      </c>
      <c r="W550" s="11"/>
      <c r="X550" s="80" t="str">
        <f>IF(W550="","",VLOOKUP(W550,ROLES!I:J,2,FALSE))</f>
        <v/>
      </c>
      <c r="Y550" s="95" t="e">
        <f t="shared" si="17"/>
        <v>#VALUE!</v>
      </c>
      <c r="Z550" s="6"/>
      <c r="AA550" s="6"/>
    </row>
    <row r="551" spans="1:27" ht="28.95" customHeight="1" x14ac:dyDescent="0.3">
      <c r="A551" s="91"/>
      <c r="B551" s="91"/>
      <c r="C551" s="80"/>
      <c r="D551" s="91"/>
      <c r="E551" s="80"/>
      <c r="F551" s="6"/>
      <c r="G551" s="6"/>
      <c r="H551" s="25"/>
      <c r="I551" s="133"/>
      <c r="J551" s="6"/>
      <c r="K551" s="6"/>
      <c r="L551" s="6"/>
      <c r="M551" s="6"/>
      <c r="N551" s="84"/>
      <c r="O551" s="80" t="str">
        <f>IF(N551="","",VLOOKUP(N551,ROLES!B:C,2,FALSE))</f>
        <v/>
      </c>
      <c r="P551" s="15"/>
      <c r="Q551" s="15"/>
      <c r="R551" s="16">
        <f t="shared" si="18"/>
        <v>0</v>
      </c>
      <c r="S551" s="16"/>
      <c r="T551" s="80" t="str">
        <f>IF(S551="","",VLOOKUP(S551,VALORACION!F:G,2,FALSE))</f>
        <v/>
      </c>
      <c r="U551" s="11"/>
      <c r="V551" s="80" t="str">
        <f>IF(U551="","",VLOOKUP(U551,ROLES!G:H,2,FALSE))</f>
        <v/>
      </c>
      <c r="W551" s="11"/>
      <c r="X551" s="80" t="str">
        <f>IF(W551="","",VLOOKUP(W551,ROLES!I:J,2,FALSE))</f>
        <v/>
      </c>
      <c r="Y551" s="95" t="e">
        <f t="shared" si="17"/>
        <v>#VALUE!</v>
      </c>
      <c r="Z551" s="6"/>
      <c r="AA551" s="6"/>
    </row>
    <row r="552" spans="1:27" ht="28.95" customHeight="1" x14ac:dyDescent="0.3">
      <c r="A552" s="91"/>
      <c r="B552" s="91"/>
      <c r="C552" s="80"/>
      <c r="D552" s="91"/>
      <c r="E552" s="80"/>
      <c r="F552" s="6"/>
      <c r="G552" s="6"/>
      <c r="H552" s="25"/>
      <c r="I552" s="133"/>
      <c r="J552" s="6"/>
      <c r="K552" s="6"/>
      <c r="L552" s="6"/>
      <c r="M552" s="6"/>
      <c r="N552" s="84"/>
      <c r="O552" s="80" t="str">
        <f>IF(N552="","",VLOOKUP(N552,ROLES!B:C,2,FALSE))</f>
        <v/>
      </c>
      <c r="P552" s="15"/>
      <c r="Q552" s="15"/>
      <c r="R552" s="16">
        <f t="shared" si="18"/>
        <v>0</v>
      </c>
      <c r="S552" s="16"/>
      <c r="T552" s="80" t="str">
        <f>IF(S552="","",VLOOKUP(S552,VALORACION!F:G,2,FALSE))</f>
        <v/>
      </c>
      <c r="U552" s="11"/>
      <c r="V552" s="80" t="str">
        <f>IF(U552="","",VLOOKUP(U552,ROLES!G:H,2,FALSE))</f>
        <v/>
      </c>
      <c r="W552" s="11"/>
      <c r="X552" s="80" t="str">
        <f>IF(W552="","",VLOOKUP(W552,ROLES!I:J,2,FALSE))</f>
        <v/>
      </c>
      <c r="Y552" s="95" t="e">
        <f t="shared" si="17"/>
        <v>#VALUE!</v>
      </c>
      <c r="Z552" s="6"/>
      <c r="AA552" s="6"/>
    </row>
    <row r="553" spans="1:27" ht="28.95" customHeight="1" x14ac:dyDescent="0.3">
      <c r="A553" s="91"/>
      <c r="B553" s="91"/>
      <c r="C553" s="80"/>
      <c r="D553" s="91"/>
      <c r="E553" s="80"/>
      <c r="F553" s="6"/>
      <c r="G553" s="6"/>
      <c r="H553" s="25"/>
      <c r="I553" s="133"/>
      <c r="J553" s="6"/>
      <c r="K553" s="6"/>
      <c r="L553" s="6"/>
      <c r="M553" s="6"/>
      <c r="N553" s="84"/>
      <c r="O553" s="80" t="str">
        <f>IF(N553="","",VLOOKUP(N553,ROLES!B:C,2,FALSE))</f>
        <v/>
      </c>
      <c r="P553" s="15"/>
      <c r="Q553" s="15"/>
      <c r="R553" s="16">
        <f t="shared" si="18"/>
        <v>0</v>
      </c>
      <c r="S553" s="16"/>
      <c r="T553" s="80" t="str">
        <f>IF(S553="","",VLOOKUP(S553,VALORACION!F:G,2,FALSE))</f>
        <v/>
      </c>
      <c r="U553" s="11"/>
      <c r="V553" s="80" t="str">
        <f>IF(U553="","",VLOOKUP(U553,ROLES!G:H,2,FALSE))</f>
        <v/>
      </c>
      <c r="W553" s="11"/>
      <c r="X553" s="80" t="str">
        <f>IF(W553="","",VLOOKUP(W553,ROLES!I:J,2,FALSE))</f>
        <v/>
      </c>
      <c r="Y553" s="95" t="e">
        <f t="shared" si="17"/>
        <v>#VALUE!</v>
      </c>
      <c r="Z553" s="6"/>
      <c r="AA553" s="6"/>
    </row>
    <row r="554" spans="1:27" ht="28.95" customHeight="1" x14ac:dyDescent="0.3">
      <c r="A554" s="91"/>
      <c r="B554" s="91"/>
      <c r="C554" s="80"/>
      <c r="D554" s="91"/>
      <c r="E554" s="80"/>
      <c r="F554" s="6"/>
      <c r="G554" s="6"/>
      <c r="H554" s="25"/>
      <c r="I554" s="133"/>
      <c r="J554" s="6"/>
      <c r="K554" s="6"/>
      <c r="L554" s="6"/>
      <c r="M554" s="6"/>
      <c r="N554" s="84"/>
      <c r="O554" s="80" t="str">
        <f>IF(N554="","",VLOOKUP(N554,ROLES!B:C,2,FALSE))</f>
        <v/>
      </c>
      <c r="P554" s="15"/>
      <c r="Q554" s="15"/>
      <c r="R554" s="16">
        <f t="shared" si="18"/>
        <v>0</v>
      </c>
      <c r="S554" s="16"/>
      <c r="T554" s="80" t="str">
        <f>IF(S554="","",VLOOKUP(S554,VALORACION!F:G,2,FALSE))</f>
        <v/>
      </c>
      <c r="U554" s="11"/>
      <c r="V554" s="80" t="str">
        <f>IF(U554="","",VLOOKUP(U554,ROLES!G:H,2,FALSE))</f>
        <v/>
      </c>
      <c r="W554" s="11"/>
      <c r="X554" s="80" t="str">
        <f>IF(W554="","",VLOOKUP(W554,ROLES!I:J,2,FALSE))</f>
        <v/>
      </c>
      <c r="Y554" s="95" t="e">
        <f t="shared" si="17"/>
        <v>#VALUE!</v>
      </c>
      <c r="Z554" s="6"/>
      <c r="AA554" s="6"/>
    </row>
    <row r="555" spans="1:27" ht="28.95" customHeight="1" x14ac:dyDescent="0.3">
      <c r="A555" s="91"/>
      <c r="B555" s="91"/>
      <c r="C555" s="80"/>
      <c r="D555" s="91"/>
      <c r="E555" s="80"/>
      <c r="F555" s="6"/>
      <c r="G555" s="6"/>
      <c r="H555" s="25"/>
      <c r="I555" s="133"/>
      <c r="J555" s="6"/>
      <c r="K555" s="6"/>
      <c r="L555" s="6"/>
      <c r="M555" s="6"/>
      <c r="N555" s="84"/>
      <c r="O555" s="80" t="str">
        <f>IF(N555="","",VLOOKUP(N555,ROLES!B:C,2,FALSE))</f>
        <v/>
      </c>
      <c r="P555" s="15"/>
      <c r="Q555" s="15"/>
      <c r="R555" s="16">
        <f t="shared" si="18"/>
        <v>0</v>
      </c>
      <c r="S555" s="16"/>
      <c r="T555" s="80" t="str">
        <f>IF(S555="","",VLOOKUP(S555,VALORACION!F:G,2,FALSE))</f>
        <v/>
      </c>
      <c r="U555" s="11"/>
      <c r="V555" s="80" t="str">
        <f>IF(U555="","",VLOOKUP(U555,ROLES!G:H,2,FALSE))</f>
        <v/>
      </c>
      <c r="W555" s="11"/>
      <c r="X555" s="80" t="str">
        <f>IF(W555="","",VLOOKUP(W555,ROLES!I:J,2,FALSE))</f>
        <v/>
      </c>
      <c r="Y555" s="95" t="e">
        <f t="shared" si="17"/>
        <v>#VALUE!</v>
      </c>
      <c r="Z555" s="6"/>
      <c r="AA555" s="6"/>
    </row>
    <row r="556" spans="1:27" ht="28.95" customHeight="1" x14ac:dyDescent="0.3">
      <c r="A556" s="91"/>
      <c r="B556" s="91"/>
      <c r="C556" s="80"/>
      <c r="D556" s="91"/>
      <c r="E556" s="80"/>
      <c r="F556" s="6"/>
      <c r="G556" s="6"/>
      <c r="H556" s="25"/>
      <c r="I556" s="133"/>
      <c r="J556" s="6"/>
      <c r="K556" s="6"/>
      <c r="L556" s="6"/>
      <c r="M556" s="6"/>
      <c r="N556" s="84"/>
      <c r="O556" s="80" t="str">
        <f>IF(N556="","",VLOOKUP(N556,ROLES!B:C,2,FALSE))</f>
        <v/>
      </c>
      <c r="P556" s="15"/>
      <c r="Q556" s="15"/>
      <c r="R556" s="16">
        <f t="shared" si="18"/>
        <v>0</v>
      </c>
      <c r="S556" s="16"/>
      <c r="T556" s="80" t="str">
        <f>IF(S556="","",VLOOKUP(S556,VALORACION!F:G,2,FALSE))</f>
        <v/>
      </c>
      <c r="U556" s="11"/>
      <c r="V556" s="80" t="str">
        <f>IF(U556="","",VLOOKUP(U556,ROLES!G:H,2,FALSE))</f>
        <v/>
      </c>
      <c r="W556" s="11"/>
      <c r="X556" s="80" t="str">
        <f>IF(W556="","",VLOOKUP(W556,ROLES!I:J,2,FALSE))</f>
        <v/>
      </c>
      <c r="Y556" s="95" t="e">
        <f t="shared" si="17"/>
        <v>#VALUE!</v>
      </c>
      <c r="Z556" s="6"/>
      <c r="AA556" s="6"/>
    </row>
    <row r="557" spans="1:27" ht="28.95" customHeight="1" x14ac:dyDescent="0.3">
      <c r="A557" s="91"/>
      <c r="B557" s="91"/>
      <c r="C557" s="80"/>
      <c r="D557" s="91"/>
      <c r="E557" s="80"/>
      <c r="F557" s="6"/>
      <c r="G557" s="6"/>
      <c r="H557" s="25"/>
      <c r="I557" s="133"/>
      <c r="J557" s="6"/>
      <c r="K557" s="6"/>
      <c r="L557" s="6"/>
      <c r="M557" s="6"/>
      <c r="N557" s="84"/>
      <c r="O557" s="80" t="str">
        <f>IF(N557="","",VLOOKUP(N557,ROLES!B:C,2,FALSE))</f>
        <v/>
      </c>
      <c r="P557" s="15"/>
      <c r="Q557" s="15"/>
      <c r="R557" s="16">
        <f t="shared" si="18"/>
        <v>0</v>
      </c>
      <c r="S557" s="16"/>
      <c r="T557" s="80" t="str">
        <f>IF(S557="","",VLOOKUP(S557,VALORACION!F:G,2,FALSE))</f>
        <v/>
      </c>
      <c r="U557" s="11"/>
      <c r="V557" s="80" t="str">
        <f>IF(U557="","",VLOOKUP(U557,ROLES!G:H,2,FALSE))</f>
        <v/>
      </c>
      <c r="W557" s="11"/>
      <c r="X557" s="80" t="str">
        <f>IF(W557="","",VLOOKUP(W557,ROLES!I:J,2,FALSE))</f>
        <v/>
      </c>
      <c r="Y557" s="95" t="e">
        <f t="shared" si="17"/>
        <v>#VALUE!</v>
      </c>
      <c r="Z557" s="6"/>
      <c r="AA557" s="6"/>
    </row>
    <row r="558" spans="1:27" ht="28.95" customHeight="1" x14ac:dyDescent="0.3">
      <c r="A558" s="91"/>
      <c r="B558" s="91"/>
      <c r="C558" s="80"/>
      <c r="D558" s="91"/>
      <c r="E558" s="80"/>
      <c r="F558" s="6"/>
      <c r="G558" s="6"/>
      <c r="H558" s="25"/>
      <c r="I558" s="133"/>
      <c r="J558" s="6"/>
      <c r="K558" s="6"/>
      <c r="L558" s="6"/>
      <c r="M558" s="6"/>
      <c r="N558" s="84"/>
      <c r="O558" s="80" t="str">
        <f>IF(N558="","",VLOOKUP(N558,ROLES!B:C,2,FALSE))</f>
        <v/>
      </c>
      <c r="P558" s="15"/>
      <c r="Q558" s="15"/>
      <c r="R558" s="16">
        <f t="shared" si="18"/>
        <v>0</v>
      </c>
      <c r="S558" s="16"/>
      <c r="T558" s="80" t="str">
        <f>IF(S558="","",VLOOKUP(S558,VALORACION!F:G,2,FALSE))</f>
        <v/>
      </c>
      <c r="U558" s="11"/>
      <c r="V558" s="80" t="str">
        <f>IF(U558="","",VLOOKUP(U558,ROLES!G:H,2,FALSE))</f>
        <v/>
      </c>
      <c r="W558" s="11"/>
      <c r="X558" s="80" t="str">
        <f>IF(W558="","",VLOOKUP(W558,ROLES!I:J,2,FALSE))</f>
        <v/>
      </c>
      <c r="Y558" s="95" t="e">
        <f t="shared" si="17"/>
        <v>#VALUE!</v>
      </c>
      <c r="Z558" s="6"/>
      <c r="AA558" s="6"/>
    </row>
    <row r="559" spans="1:27" ht="28.95" customHeight="1" x14ac:dyDescent="0.3">
      <c r="A559" s="91"/>
      <c r="B559" s="91"/>
      <c r="C559" s="80"/>
      <c r="D559" s="91"/>
      <c r="E559" s="80"/>
      <c r="F559" s="6"/>
      <c r="G559" s="6"/>
      <c r="H559" s="25"/>
      <c r="I559" s="133"/>
      <c r="J559" s="6"/>
      <c r="K559" s="6"/>
      <c r="L559" s="6"/>
      <c r="M559" s="6"/>
      <c r="N559" s="84"/>
      <c r="O559" s="80" t="str">
        <f>IF(N559="","",VLOOKUP(N559,ROLES!B:C,2,FALSE))</f>
        <v/>
      </c>
      <c r="P559" s="15"/>
      <c r="Q559" s="15"/>
      <c r="R559" s="16">
        <f t="shared" si="18"/>
        <v>0</v>
      </c>
      <c r="S559" s="16"/>
      <c r="T559" s="80" t="str">
        <f>IF(S559="","",VLOOKUP(S559,VALORACION!F:G,2,FALSE))</f>
        <v/>
      </c>
      <c r="U559" s="11"/>
      <c r="V559" s="80" t="str">
        <f>IF(U559="","",VLOOKUP(U559,ROLES!G:H,2,FALSE))</f>
        <v/>
      </c>
      <c r="W559" s="11"/>
      <c r="X559" s="80" t="str">
        <f>IF(W559="","",VLOOKUP(W559,ROLES!I:J,2,FALSE))</f>
        <v/>
      </c>
      <c r="Y559" s="95" t="e">
        <f t="shared" si="17"/>
        <v>#VALUE!</v>
      </c>
      <c r="Z559" s="6"/>
      <c r="AA559" s="6"/>
    </row>
    <row r="560" spans="1:27" ht="28.95" customHeight="1" x14ac:dyDescent="0.3">
      <c r="A560" s="91"/>
      <c r="B560" s="91"/>
      <c r="C560" s="80"/>
      <c r="D560" s="91"/>
      <c r="E560" s="80"/>
      <c r="F560" s="6"/>
      <c r="G560" s="6"/>
      <c r="H560" s="25"/>
      <c r="I560" s="133"/>
      <c r="J560" s="6"/>
      <c r="K560" s="6"/>
      <c r="L560" s="6"/>
      <c r="M560" s="6"/>
      <c r="N560" s="84"/>
      <c r="O560" s="80" t="str">
        <f>IF(N560="","",VLOOKUP(N560,ROLES!B:C,2,FALSE))</f>
        <v/>
      </c>
      <c r="P560" s="15"/>
      <c r="Q560" s="15"/>
      <c r="R560" s="16">
        <f t="shared" si="18"/>
        <v>0</v>
      </c>
      <c r="S560" s="16"/>
      <c r="T560" s="80" t="str">
        <f>IF(S560="","",VLOOKUP(S560,VALORACION!F:G,2,FALSE))</f>
        <v/>
      </c>
      <c r="U560" s="11"/>
      <c r="V560" s="80" t="str">
        <f>IF(U560="","",VLOOKUP(U560,ROLES!G:H,2,FALSE))</f>
        <v/>
      </c>
      <c r="W560" s="11"/>
      <c r="X560" s="80" t="str">
        <f>IF(W560="","",VLOOKUP(W560,ROLES!I:J,2,FALSE))</f>
        <v/>
      </c>
      <c r="Y560" s="95" t="e">
        <f t="shared" si="17"/>
        <v>#VALUE!</v>
      </c>
      <c r="Z560" s="6"/>
      <c r="AA560" s="6"/>
    </row>
    <row r="561" spans="1:27" ht="28.95" customHeight="1" x14ac:dyDescent="0.3">
      <c r="A561" s="91"/>
      <c r="B561" s="91"/>
      <c r="C561" s="80"/>
      <c r="D561" s="91"/>
      <c r="E561" s="80"/>
      <c r="F561" s="6"/>
      <c r="G561" s="6"/>
      <c r="H561" s="25"/>
      <c r="I561" s="133"/>
      <c r="J561" s="6"/>
      <c r="K561" s="6"/>
      <c r="L561" s="6"/>
      <c r="M561" s="6"/>
      <c r="N561" s="84"/>
      <c r="O561" s="80" t="str">
        <f>IF(N561="","",VLOOKUP(N561,ROLES!B:C,2,FALSE))</f>
        <v/>
      </c>
      <c r="P561" s="15"/>
      <c r="Q561" s="15"/>
      <c r="R561" s="16">
        <f t="shared" si="18"/>
        <v>0</v>
      </c>
      <c r="S561" s="16"/>
      <c r="T561" s="80" t="str">
        <f>IF(S561="","",VLOOKUP(S561,VALORACION!F:G,2,FALSE))</f>
        <v/>
      </c>
      <c r="U561" s="11"/>
      <c r="V561" s="80" t="str">
        <f>IF(U561="","",VLOOKUP(U561,ROLES!G:H,2,FALSE))</f>
        <v/>
      </c>
      <c r="W561" s="11"/>
      <c r="X561" s="80" t="str">
        <f>IF(W561="","",VLOOKUP(W561,ROLES!I:J,2,FALSE))</f>
        <v/>
      </c>
      <c r="Y561" s="95" t="e">
        <f t="shared" si="17"/>
        <v>#VALUE!</v>
      </c>
      <c r="Z561" s="6"/>
      <c r="AA561" s="6"/>
    </row>
    <row r="562" spans="1:27" ht="28.95" customHeight="1" x14ac:dyDescent="0.3">
      <c r="A562" s="91"/>
      <c r="B562" s="91"/>
      <c r="C562" s="80"/>
      <c r="D562" s="91"/>
      <c r="E562" s="80"/>
      <c r="F562" s="6"/>
      <c r="G562" s="6"/>
      <c r="H562" s="25"/>
      <c r="I562" s="133"/>
      <c r="J562" s="6"/>
      <c r="K562" s="6"/>
      <c r="L562" s="6"/>
      <c r="M562" s="6"/>
      <c r="N562" s="84"/>
      <c r="O562" s="80" t="str">
        <f>IF(N562="","",VLOOKUP(N562,ROLES!B:C,2,FALSE))</f>
        <v/>
      </c>
      <c r="P562" s="15"/>
      <c r="Q562" s="15"/>
      <c r="R562" s="16">
        <f t="shared" si="18"/>
        <v>0</v>
      </c>
      <c r="S562" s="16"/>
      <c r="T562" s="80" t="str">
        <f>IF(S562="","",VLOOKUP(S562,VALORACION!F:G,2,FALSE))</f>
        <v/>
      </c>
      <c r="U562" s="11"/>
      <c r="V562" s="80" t="str">
        <f>IF(U562="","",VLOOKUP(U562,ROLES!G:H,2,FALSE))</f>
        <v/>
      </c>
      <c r="W562" s="11"/>
      <c r="X562" s="80" t="str">
        <f>IF(W562="","",VLOOKUP(W562,ROLES!I:J,2,FALSE))</f>
        <v/>
      </c>
      <c r="Y562" s="95" t="e">
        <f t="shared" si="17"/>
        <v>#VALUE!</v>
      </c>
      <c r="Z562" s="6"/>
      <c r="AA562" s="6"/>
    </row>
    <row r="563" spans="1:27" ht="28.95" customHeight="1" x14ac:dyDescent="0.3">
      <c r="A563" s="91"/>
      <c r="B563" s="91"/>
      <c r="C563" s="80"/>
      <c r="D563" s="91"/>
      <c r="E563" s="80"/>
      <c r="F563" s="6"/>
      <c r="G563" s="6"/>
      <c r="H563" s="25"/>
      <c r="I563" s="133"/>
      <c r="J563" s="6"/>
      <c r="K563" s="6"/>
      <c r="L563" s="6"/>
      <c r="M563" s="6"/>
      <c r="N563" s="84"/>
      <c r="O563" s="80" t="str">
        <f>IF(N563="","",VLOOKUP(N563,ROLES!B:C,2,FALSE))</f>
        <v/>
      </c>
      <c r="P563" s="15"/>
      <c r="Q563" s="15"/>
      <c r="R563" s="16">
        <f t="shared" si="18"/>
        <v>0</v>
      </c>
      <c r="S563" s="16"/>
      <c r="T563" s="80" t="str">
        <f>IF(S563="","",VLOOKUP(S563,VALORACION!F:G,2,FALSE))</f>
        <v/>
      </c>
      <c r="U563" s="11"/>
      <c r="V563" s="80" t="str">
        <f>IF(U563="","",VLOOKUP(U563,ROLES!G:H,2,FALSE))</f>
        <v/>
      </c>
      <c r="W563" s="11"/>
      <c r="X563" s="80" t="str">
        <f>IF(W563="","",VLOOKUP(W563,ROLES!I:J,2,FALSE))</f>
        <v/>
      </c>
      <c r="Y563" s="95" t="e">
        <f t="shared" si="17"/>
        <v>#VALUE!</v>
      </c>
      <c r="Z563" s="6"/>
      <c r="AA563" s="6"/>
    </row>
    <row r="564" spans="1:27" ht="28.95" customHeight="1" x14ac:dyDescent="0.3">
      <c r="A564" s="91"/>
      <c r="B564" s="91"/>
      <c r="C564" s="80"/>
      <c r="D564" s="91"/>
      <c r="E564" s="80"/>
      <c r="F564" s="6"/>
      <c r="G564" s="6"/>
      <c r="H564" s="25"/>
      <c r="I564" s="133"/>
      <c r="J564" s="6"/>
      <c r="K564" s="6"/>
      <c r="L564" s="6"/>
      <c r="M564" s="6"/>
      <c r="N564" s="84"/>
      <c r="O564" s="80" t="str">
        <f>IF(N564="","",VLOOKUP(N564,ROLES!B:C,2,FALSE))</f>
        <v/>
      </c>
      <c r="P564" s="15"/>
      <c r="Q564" s="15"/>
      <c r="R564" s="16">
        <f t="shared" si="18"/>
        <v>0</v>
      </c>
      <c r="S564" s="16"/>
      <c r="T564" s="80" t="str">
        <f>IF(S564="","",VLOOKUP(S564,VALORACION!F:G,2,FALSE))</f>
        <v/>
      </c>
      <c r="U564" s="11"/>
      <c r="V564" s="80" t="str">
        <f>IF(U564="","",VLOOKUP(U564,ROLES!G:H,2,FALSE))</f>
        <v/>
      </c>
      <c r="W564" s="11"/>
      <c r="X564" s="80" t="str">
        <f>IF(W564="","",VLOOKUP(W564,ROLES!I:J,2,FALSE))</f>
        <v/>
      </c>
      <c r="Y564" s="95" t="e">
        <f t="shared" si="17"/>
        <v>#VALUE!</v>
      </c>
      <c r="Z564" s="6"/>
      <c r="AA564" s="6"/>
    </row>
    <row r="565" spans="1:27" ht="28.95" customHeight="1" x14ac:dyDescent="0.3">
      <c r="A565" s="91"/>
      <c r="B565" s="91"/>
      <c r="C565" s="80"/>
      <c r="D565" s="91"/>
      <c r="E565" s="80"/>
      <c r="F565" s="6"/>
      <c r="G565" s="6"/>
      <c r="H565" s="25"/>
      <c r="I565" s="133"/>
      <c r="J565" s="6"/>
      <c r="K565" s="6"/>
      <c r="L565" s="6"/>
      <c r="M565" s="6"/>
      <c r="N565" s="84"/>
      <c r="O565" s="80" t="str">
        <f>IF(N565="","",VLOOKUP(N565,ROLES!B:C,2,FALSE))</f>
        <v/>
      </c>
      <c r="P565" s="15"/>
      <c r="Q565" s="15"/>
      <c r="R565" s="16">
        <f t="shared" si="18"/>
        <v>0</v>
      </c>
      <c r="S565" s="16"/>
      <c r="T565" s="80" t="str">
        <f>IF(S565="","",VLOOKUP(S565,VALORACION!F:G,2,FALSE))</f>
        <v/>
      </c>
      <c r="U565" s="11"/>
      <c r="V565" s="80" t="str">
        <f>IF(U565="","",VLOOKUP(U565,ROLES!G:H,2,FALSE))</f>
        <v/>
      </c>
      <c r="W565" s="11"/>
      <c r="X565" s="80" t="str">
        <f>IF(W565="","",VLOOKUP(W565,ROLES!I:J,2,FALSE))</f>
        <v/>
      </c>
      <c r="Y565" s="95" t="e">
        <f t="shared" si="17"/>
        <v>#VALUE!</v>
      </c>
      <c r="Z565" s="6"/>
      <c r="AA565" s="6"/>
    </row>
    <row r="566" spans="1:27" ht="28.95" customHeight="1" x14ac:dyDescent="0.3">
      <c r="A566" s="91"/>
      <c r="B566" s="91"/>
      <c r="C566" s="80"/>
      <c r="D566" s="91"/>
      <c r="E566" s="80"/>
      <c r="F566" s="6"/>
      <c r="G566" s="6"/>
      <c r="H566" s="25"/>
      <c r="I566" s="133"/>
      <c r="J566" s="6"/>
      <c r="K566" s="6"/>
      <c r="L566" s="6"/>
      <c r="M566" s="6"/>
      <c r="N566" s="84"/>
      <c r="O566" s="80" t="str">
        <f>IF(N566="","",VLOOKUP(N566,ROLES!B:C,2,FALSE))</f>
        <v/>
      </c>
      <c r="P566" s="15"/>
      <c r="Q566" s="15"/>
      <c r="R566" s="16">
        <f t="shared" si="18"/>
        <v>0</v>
      </c>
      <c r="S566" s="16"/>
      <c r="T566" s="80" t="str">
        <f>IF(S566="","",VLOOKUP(S566,VALORACION!F:G,2,FALSE))</f>
        <v/>
      </c>
      <c r="U566" s="11"/>
      <c r="V566" s="80" t="str">
        <f>IF(U566="","",VLOOKUP(U566,ROLES!G:H,2,FALSE))</f>
        <v/>
      </c>
      <c r="W566" s="11"/>
      <c r="X566" s="80" t="str">
        <f>IF(W566="","",VLOOKUP(W566,ROLES!I:J,2,FALSE))</f>
        <v/>
      </c>
      <c r="Y566" s="95" t="e">
        <f t="shared" si="17"/>
        <v>#VALUE!</v>
      </c>
      <c r="Z566" s="6"/>
      <c r="AA566" s="6"/>
    </row>
    <row r="567" spans="1:27" ht="28.95" customHeight="1" x14ac:dyDescent="0.3">
      <c r="A567" s="91"/>
      <c r="B567" s="91"/>
      <c r="C567" s="80"/>
      <c r="D567" s="91"/>
      <c r="E567" s="80"/>
      <c r="F567" s="6"/>
      <c r="G567" s="6"/>
      <c r="H567" s="25"/>
      <c r="I567" s="133"/>
      <c r="J567" s="6"/>
      <c r="K567" s="6"/>
      <c r="L567" s="6"/>
      <c r="M567" s="6"/>
      <c r="N567" s="84"/>
      <c r="O567" s="80" t="str">
        <f>IF(N567="","",VLOOKUP(N567,ROLES!B:C,2,FALSE))</f>
        <v/>
      </c>
      <c r="P567" s="15"/>
      <c r="Q567" s="15"/>
      <c r="R567" s="16">
        <f t="shared" si="18"/>
        <v>0</v>
      </c>
      <c r="S567" s="16"/>
      <c r="T567" s="80" t="str">
        <f>IF(S567="","",VLOOKUP(S567,VALORACION!F:G,2,FALSE))</f>
        <v/>
      </c>
      <c r="U567" s="11"/>
      <c r="V567" s="80" t="str">
        <f>IF(U567="","",VLOOKUP(U567,ROLES!G:H,2,FALSE))</f>
        <v/>
      </c>
      <c r="W567" s="11"/>
      <c r="X567" s="80" t="str">
        <f>IF(W567="","",VLOOKUP(W567,ROLES!I:J,2,FALSE))</f>
        <v/>
      </c>
      <c r="Y567" s="95" t="e">
        <f t="shared" si="17"/>
        <v>#VALUE!</v>
      </c>
      <c r="Z567" s="6"/>
      <c r="AA567" s="6"/>
    </row>
    <row r="568" spans="1:27" ht="28.95" customHeight="1" x14ac:dyDescent="0.3">
      <c r="A568" s="91"/>
      <c r="B568" s="91"/>
      <c r="C568" s="80"/>
      <c r="D568" s="91"/>
      <c r="E568" s="80"/>
      <c r="F568" s="6"/>
      <c r="G568" s="6"/>
      <c r="H568" s="25"/>
      <c r="I568" s="133"/>
      <c r="J568" s="6"/>
      <c r="K568" s="6"/>
      <c r="L568" s="6"/>
      <c r="M568" s="6"/>
      <c r="N568" s="84"/>
      <c r="O568" s="80" t="str">
        <f>IF(N568="","",VLOOKUP(N568,ROLES!B:C,2,FALSE))</f>
        <v/>
      </c>
      <c r="P568" s="15"/>
      <c r="Q568" s="15"/>
      <c r="R568" s="16">
        <f t="shared" si="18"/>
        <v>0</v>
      </c>
      <c r="S568" s="16"/>
      <c r="T568" s="80" t="str">
        <f>IF(S568="","",VLOOKUP(S568,VALORACION!F:G,2,FALSE))</f>
        <v/>
      </c>
      <c r="U568" s="11"/>
      <c r="V568" s="80" t="str">
        <f>IF(U568="","",VLOOKUP(U568,ROLES!G:H,2,FALSE))</f>
        <v/>
      </c>
      <c r="W568" s="11"/>
      <c r="X568" s="80" t="str">
        <f>IF(W568="","",VLOOKUP(W568,ROLES!I:J,2,FALSE))</f>
        <v/>
      </c>
      <c r="Y568" s="95" t="e">
        <f t="shared" si="17"/>
        <v>#VALUE!</v>
      </c>
      <c r="Z568" s="6"/>
      <c r="AA568" s="6"/>
    </row>
    <row r="569" spans="1:27" ht="28.95" customHeight="1" x14ac:dyDescent="0.3">
      <c r="A569" s="91"/>
      <c r="B569" s="91"/>
      <c r="C569" s="80"/>
      <c r="D569" s="91"/>
      <c r="E569" s="80"/>
      <c r="F569" s="6"/>
      <c r="G569" s="6"/>
      <c r="H569" s="25"/>
      <c r="I569" s="133"/>
      <c r="J569" s="6"/>
      <c r="K569" s="6"/>
      <c r="L569" s="6"/>
      <c r="M569" s="6"/>
      <c r="N569" s="84"/>
      <c r="O569" s="80" t="str">
        <f>IF(N569="","",VLOOKUP(N569,ROLES!B:C,2,FALSE))</f>
        <v/>
      </c>
      <c r="P569" s="15"/>
      <c r="Q569" s="15"/>
      <c r="R569" s="16">
        <f t="shared" si="18"/>
        <v>0</v>
      </c>
      <c r="S569" s="16"/>
      <c r="T569" s="80" t="str">
        <f>IF(S569="","",VLOOKUP(S569,VALORACION!F:G,2,FALSE))</f>
        <v/>
      </c>
      <c r="U569" s="11"/>
      <c r="V569" s="80" t="str">
        <f>IF(U569="","",VLOOKUP(U569,ROLES!G:H,2,FALSE))</f>
        <v/>
      </c>
      <c r="W569" s="11"/>
      <c r="X569" s="80" t="str">
        <f>IF(W569="","",VLOOKUP(W569,ROLES!I:J,2,FALSE))</f>
        <v/>
      </c>
      <c r="Y569" s="95" t="e">
        <f t="shared" si="17"/>
        <v>#VALUE!</v>
      </c>
      <c r="Z569" s="6"/>
      <c r="AA569" s="6"/>
    </row>
    <row r="570" spans="1:27" ht="28.95" customHeight="1" x14ac:dyDescent="0.3">
      <c r="A570" s="91"/>
      <c r="B570" s="91"/>
      <c r="C570" s="80"/>
      <c r="D570" s="91"/>
      <c r="E570" s="80"/>
      <c r="F570" s="6"/>
      <c r="G570" s="6"/>
      <c r="H570" s="25"/>
      <c r="I570" s="133"/>
      <c r="J570" s="6"/>
      <c r="K570" s="6"/>
      <c r="L570" s="6"/>
      <c r="M570" s="6"/>
      <c r="N570" s="84"/>
      <c r="O570" s="80" t="str">
        <f>IF(N570="","",VLOOKUP(N570,ROLES!B:C,2,FALSE))</f>
        <v/>
      </c>
      <c r="P570" s="15"/>
      <c r="Q570" s="15"/>
      <c r="R570" s="16">
        <f t="shared" si="18"/>
        <v>0</v>
      </c>
      <c r="S570" s="16"/>
      <c r="T570" s="80" t="str">
        <f>IF(S570="","",VLOOKUP(S570,VALORACION!F:G,2,FALSE))</f>
        <v/>
      </c>
      <c r="U570" s="11"/>
      <c r="V570" s="80" t="str">
        <f>IF(U570="","",VLOOKUP(U570,ROLES!G:H,2,FALSE))</f>
        <v/>
      </c>
      <c r="W570" s="11"/>
      <c r="X570" s="80" t="str">
        <f>IF(W570="","",VLOOKUP(W570,ROLES!I:J,2,FALSE))</f>
        <v/>
      </c>
      <c r="Y570" s="95" t="e">
        <f t="shared" si="17"/>
        <v>#VALUE!</v>
      </c>
      <c r="Z570" s="6"/>
      <c r="AA570" s="6"/>
    </row>
    <row r="571" spans="1:27" ht="28.95" customHeight="1" x14ac:dyDescent="0.3">
      <c r="A571" s="91"/>
      <c r="B571" s="91"/>
      <c r="C571" s="80"/>
      <c r="D571" s="91"/>
      <c r="E571" s="80"/>
      <c r="F571" s="6"/>
      <c r="G571" s="6"/>
      <c r="H571" s="25"/>
      <c r="I571" s="133"/>
      <c r="J571" s="6"/>
      <c r="K571" s="6"/>
      <c r="L571" s="6"/>
      <c r="M571" s="6"/>
      <c r="N571" s="84"/>
      <c r="O571" s="80" t="str">
        <f>IF(N571="","",VLOOKUP(N571,ROLES!B:C,2,FALSE))</f>
        <v/>
      </c>
      <c r="P571" s="15"/>
      <c r="Q571" s="15"/>
      <c r="R571" s="16">
        <f t="shared" si="18"/>
        <v>0</v>
      </c>
      <c r="S571" s="16"/>
      <c r="T571" s="80" t="str">
        <f>IF(S571="","",VLOOKUP(S571,VALORACION!F:G,2,FALSE))</f>
        <v/>
      </c>
      <c r="U571" s="11"/>
      <c r="V571" s="80" t="str">
        <f>IF(U571="","",VLOOKUP(U571,ROLES!G:H,2,FALSE))</f>
        <v/>
      </c>
      <c r="W571" s="11"/>
      <c r="X571" s="80" t="str">
        <f>IF(W571="","",VLOOKUP(W571,ROLES!I:J,2,FALSE))</f>
        <v/>
      </c>
      <c r="Y571" s="95" t="e">
        <f t="shared" si="17"/>
        <v>#VALUE!</v>
      </c>
      <c r="Z571" s="6"/>
      <c r="AA571" s="6"/>
    </row>
    <row r="572" spans="1:27" ht="28.95" customHeight="1" x14ac:dyDescent="0.3">
      <c r="A572" s="91"/>
      <c r="B572" s="91"/>
      <c r="C572" s="80"/>
      <c r="D572" s="91"/>
      <c r="E572" s="80"/>
      <c r="F572" s="6"/>
      <c r="G572" s="6"/>
      <c r="H572" s="25"/>
      <c r="I572" s="133"/>
      <c r="J572" s="6"/>
      <c r="K572" s="6"/>
      <c r="L572" s="6"/>
      <c r="M572" s="6"/>
      <c r="N572" s="84"/>
      <c r="O572" s="80" t="str">
        <f>IF(N572="","",VLOOKUP(N572,ROLES!B:C,2,FALSE))</f>
        <v/>
      </c>
      <c r="P572" s="15"/>
      <c r="Q572" s="15"/>
      <c r="R572" s="16">
        <f t="shared" si="18"/>
        <v>0</v>
      </c>
      <c r="S572" s="16"/>
      <c r="T572" s="80" t="str">
        <f>IF(S572="","",VLOOKUP(S572,VALORACION!F:G,2,FALSE))</f>
        <v/>
      </c>
      <c r="U572" s="11"/>
      <c r="V572" s="80" t="str">
        <f>IF(U572="","",VLOOKUP(U572,ROLES!G:H,2,FALSE))</f>
        <v/>
      </c>
      <c r="W572" s="11"/>
      <c r="X572" s="80" t="str">
        <f>IF(W572="","",VLOOKUP(W572,ROLES!I:J,2,FALSE))</f>
        <v/>
      </c>
      <c r="Y572" s="95" t="e">
        <f t="shared" si="17"/>
        <v>#VALUE!</v>
      </c>
      <c r="Z572" s="6"/>
      <c r="AA572" s="6"/>
    </row>
    <row r="573" spans="1:27" ht="28.95" customHeight="1" x14ac:dyDescent="0.3">
      <c r="A573" s="91"/>
      <c r="B573" s="91"/>
      <c r="C573" s="80"/>
      <c r="D573" s="91"/>
      <c r="E573" s="80"/>
      <c r="F573" s="6"/>
      <c r="G573" s="6"/>
      <c r="H573" s="25"/>
      <c r="I573" s="133"/>
      <c r="J573" s="6"/>
      <c r="K573" s="6"/>
      <c r="L573" s="6"/>
      <c r="M573" s="6"/>
      <c r="N573" s="84"/>
      <c r="O573" s="80" t="str">
        <f>IF(N573="","",VLOOKUP(N573,ROLES!B:C,2,FALSE))</f>
        <v/>
      </c>
      <c r="P573" s="15"/>
      <c r="Q573" s="15"/>
      <c r="R573" s="16">
        <f t="shared" si="18"/>
        <v>0</v>
      </c>
      <c r="S573" s="16"/>
      <c r="T573" s="80" t="str">
        <f>IF(S573="","",VLOOKUP(S573,VALORACION!F:G,2,FALSE))</f>
        <v/>
      </c>
      <c r="U573" s="11"/>
      <c r="V573" s="80" t="str">
        <f>IF(U573="","",VLOOKUP(U573,ROLES!G:H,2,FALSE))</f>
        <v/>
      </c>
      <c r="W573" s="11"/>
      <c r="X573" s="80" t="str">
        <f>IF(W573="","",VLOOKUP(W573,ROLES!I:J,2,FALSE))</f>
        <v/>
      </c>
      <c r="Y573" s="95" t="e">
        <f t="shared" si="17"/>
        <v>#VALUE!</v>
      </c>
      <c r="Z573" s="6"/>
      <c r="AA573" s="6"/>
    </row>
    <row r="574" spans="1:27" ht="28.95" customHeight="1" x14ac:dyDescent="0.3">
      <c r="A574" s="91"/>
      <c r="B574" s="91"/>
      <c r="C574" s="80"/>
      <c r="D574" s="91"/>
      <c r="E574" s="80"/>
      <c r="F574" s="6"/>
      <c r="G574" s="6"/>
      <c r="H574" s="25"/>
      <c r="I574" s="133"/>
      <c r="J574" s="6"/>
      <c r="K574" s="6"/>
      <c r="L574" s="6"/>
      <c r="M574" s="6"/>
      <c r="N574" s="84"/>
      <c r="O574" s="80" t="str">
        <f>IF(N574="","",VLOOKUP(N574,ROLES!B:C,2,FALSE))</f>
        <v/>
      </c>
      <c r="P574" s="15"/>
      <c r="Q574" s="15"/>
      <c r="R574" s="16">
        <f t="shared" si="18"/>
        <v>0</v>
      </c>
      <c r="S574" s="16"/>
      <c r="T574" s="80" t="str">
        <f>IF(S574="","",VLOOKUP(S574,VALORACION!F:G,2,FALSE))</f>
        <v/>
      </c>
      <c r="U574" s="11"/>
      <c r="V574" s="80" t="str">
        <f>IF(U574="","",VLOOKUP(U574,ROLES!G:H,2,FALSE))</f>
        <v/>
      </c>
      <c r="W574" s="11"/>
      <c r="X574" s="80" t="str">
        <f>IF(W574="","",VLOOKUP(W574,ROLES!I:J,2,FALSE))</f>
        <v/>
      </c>
      <c r="Y574" s="95" t="e">
        <f t="shared" si="17"/>
        <v>#VALUE!</v>
      </c>
      <c r="Z574" s="6"/>
      <c r="AA574" s="6"/>
    </row>
    <row r="575" spans="1:27" ht="28.95" customHeight="1" x14ac:dyDescent="0.3">
      <c r="A575" s="91"/>
      <c r="B575" s="91"/>
      <c r="C575" s="80"/>
      <c r="D575" s="91"/>
      <c r="E575" s="80"/>
      <c r="F575" s="6"/>
      <c r="G575" s="6"/>
      <c r="H575" s="25"/>
      <c r="I575" s="133"/>
      <c r="J575" s="6"/>
      <c r="K575" s="6"/>
      <c r="L575" s="6"/>
      <c r="M575" s="6"/>
      <c r="N575" s="84"/>
      <c r="O575" s="80" t="str">
        <f>IF(N575="","",VLOOKUP(N575,ROLES!B:C,2,FALSE))</f>
        <v/>
      </c>
      <c r="P575" s="15"/>
      <c r="Q575" s="15"/>
      <c r="R575" s="16">
        <f t="shared" si="18"/>
        <v>0</v>
      </c>
      <c r="S575" s="16"/>
      <c r="T575" s="80" t="str">
        <f>IF(S575="","",VLOOKUP(S575,VALORACION!F:G,2,FALSE))</f>
        <v/>
      </c>
      <c r="U575" s="11"/>
      <c r="V575" s="80" t="str">
        <f>IF(U575="","",VLOOKUP(U575,ROLES!G:H,2,FALSE))</f>
        <v/>
      </c>
      <c r="W575" s="11"/>
      <c r="X575" s="80" t="str">
        <f>IF(W575="","",VLOOKUP(W575,ROLES!I:J,2,FALSE))</f>
        <v/>
      </c>
      <c r="Y575" s="95" t="e">
        <f t="shared" si="17"/>
        <v>#VALUE!</v>
      </c>
      <c r="Z575" s="6"/>
      <c r="AA575" s="6"/>
    </row>
    <row r="576" spans="1:27" ht="28.95" customHeight="1" x14ac:dyDescent="0.3">
      <c r="A576" s="91"/>
      <c r="B576" s="91"/>
      <c r="C576" s="80"/>
      <c r="D576" s="91"/>
      <c r="E576" s="80"/>
      <c r="F576" s="6"/>
      <c r="G576" s="6"/>
      <c r="H576" s="25"/>
      <c r="I576" s="133"/>
      <c r="J576" s="6"/>
      <c r="K576" s="6"/>
      <c r="L576" s="6"/>
      <c r="M576" s="6"/>
      <c r="N576" s="84"/>
      <c r="O576" s="80" t="str">
        <f>IF(N576="","",VLOOKUP(N576,ROLES!B:C,2,FALSE))</f>
        <v/>
      </c>
      <c r="P576" s="15"/>
      <c r="Q576" s="15"/>
      <c r="R576" s="16">
        <f t="shared" si="18"/>
        <v>0</v>
      </c>
      <c r="S576" s="16"/>
      <c r="T576" s="80" t="str">
        <f>IF(S576="","",VLOOKUP(S576,VALORACION!F:G,2,FALSE))</f>
        <v/>
      </c>
      <c r="U576" s="11"/>
      <c r="V576" s="80" t="str">
        <f>IF(U576="","",VLOOKUP(U576,ROLES!G:H,2,FALSE))</f>
        <v/>
      </c>
      <c r="W576" s="11"/>
      <c r="X576" s="80" t="str">
        <f>IF(W576="","",VLOOKUP(W576,ROLES!I:J,2,FALSE))</f>
        <v/>
      </c>
      <c r="Y576" s="95" t="e">
        <f t="shared" si="17"/>
        <v>#VALUE!</v>
      </c>
      <c r="Z576" s="6"/>
      <c r="AA576" s="6"/>
    </row>
    <row r="577" spans="1:27" ht="28.95" customHeight="1" x14ac:dyDescent="0.3">
      <c r="A577" s="91"/>
      <c r="B577" s="91"/>
      <c r="C577" s="80"/>
      <c r="D577" s="91"/>
      <c r="E577" s="80"/>
      <c r="F577" s="6"/>
      <c r="G577" s="6"/>
      <c r="H577" s="25"/>
      <c r="I577" s="133"/>
      <c r="J577" s="6"/>
      <c r="K577" s="6"/>
      <c r="L577" s="6"/>
      <c r="M577" s="6"/>
      <c r="N577" s="84"/>
      <c r="O577" s="80" t="str">
        <f>IF(N577="","",VLOOKUP(N577,ROLES!B:C,2,FALSE))</f>
        <v/>
      </c>
      <c r="P577" s="15"/>
      <c r="Q577" s="15"/>
      <c r="R577" s="16">
        <f t="shared" si="18"/>
        <v>0</v>
      </c>
      <c r="S577" s="16"/>
      <c r="T577" s="80" t="str">
        <f>IF(S577="","",VLOOKUP(S577,VALORACION!F:G,2,FALSE))</f>
        <v/>
      </c>
      <c r="U577" s="11"/>
      <c r="V577" s="80" t="str">
        <f>IF(U577="","",VLOOKUP(U577,ROLES!G:H,2,FALSE))</f>
        <v/>
      </c>
      <c r="W577" s="11"/>
      <c r="X577" s="80" t="str">
        <f>IF(W577="","",VLOOKUP(W577,ROLES!I:J,2,FALSE))</f>
        <v/>
      </c>
      <c r="Y577" s="95" t="e">
        <f t="shared" si="17"/>
        <v>#VALUE!</v>
      </c>
      <c r="Z577" s="6"/>
      <c r="AA577" s="6"/>
    </row>
    <row r="578" spans="1:27" ht="28.95" customHeight="1" x14ac:dyDescent="0.3">
      <c r="A578" s="91"/>
      <c r="B578" s="91"/>
      <c r="C578" s="80"/>
      <c r="D578" s="91"/>
      <c r="E578" s="80"/>
      <c r="F578" s="6"/>
      <c r="G578" s="6"/>
      <c r="H578" s="25"/>
      <c r="I578" s="133"/>
      <c r="J578" s="6"/>
      <c r="K578" s="6"/>
      <c r="L578" s="6"/>
      <c r="M578" s="6"/>
      <c r="N578" s="84"/>
      <c r="O578" s="80" t="str">
        <f>IF(N578="","",VLOOKUP(N578,ROLES!B:C,2,FALSE))</f>
        <v/>
      </c>
      <c r="P578" s="15"/>
      <c r="Q578" s="15"/>
      <c r="R578" s="16">
        <f t="shared" si="18"/>
        <v>0</v>
      </c>
      <c r="S578" s="16"/>
      <c r="T578" s="80" t="str">
        <f>IF(S578="","",VLOOKUP(S578,VALORACION!F:G,2,FALSE))</f>
        <v/>
      </c>
      <c r="U578" s="11"/>
      <c r="V578" s="80" t="str">
        <f>IF(U578="","",VLOOKUP(U578,ROLES!G:H,2,FALSE))</f>
        <v/>
      </c>
      <c r="W578" s="11"/>
      <c r="X578" s="80" t="str">
        <f>IF(W578="","",VLOOKUP(W578,ROLES!I:J,2,FALSE))</f>
        <v/>
      </c>
      <c r="Y578" s="95" t="e">
        <f t="shared" si="17"/>
        <v>#VALUE!</v>
      </c>
      <c r="Z578" s="6"/>
      <c r="AA578" s="6"/>
    </row>
    <row r="579" spans="1:27" ht="28.95" customHeight="1" x14ac:dyDescent="0.3">
      <c r="A579" s="91"/>
      <c r="B579" s="91"/>
      <c r="C579" s="80"/>
      <c r="D579" s="91"/>
      <c r="E579" s="80"/>
      <c r="F579" s="6"/>
      <c r="G579" s="6"/>
      <c r="H579" s="25"/>
      <c r="I579" s="133"/>
      <c r="J579" s="6"/>
      <c r="K579" s="6"/>
      <c r="L579" s="6"/>
      <c r="M579" s="6"/>
      <c r="N579" s="84"/>
      <c r="O579" s="80" t="str">
        <f>IF(N579="","",VLOOKUP(N579,ROLES!B:C,2,FALSE))</f>
        <v/>
      </c>
      <c r="P579" s="15"/>
      <c r="Q579" s="15"/>
      <c r="R579" s="16">
        <f t="shared" si="18"/>
        <v>0</v>
      </c>
      <c r="S579" s="16"/>
      <c r="T579" s="80" t="str">
        <f>IF(S579="","",VLOOKUP(S579,VALORACION!F:G,2,FALSE))</f>
        <v/>
      </c>
      <c r="U579" s="11"/>
      <c r="V579" s="80" t="str">
        <f>IF(U579="","",VLOOKUP(U579,ROLES!G:H,2,FALSE))</f>
        <v/>
      </c>
      <c r="W579" s="11"/>
      <c r="X579" s="80" t="str">
        <f>IF(W579="","",VLOOKUP(W579,ROLES!I:J,2,FALSE))</f>
        <v/>
      </c>
      <c r="Y579" s="95" t="e">
        <f t="shared" si="17"/>
        <v>#VALUE!</v>
      </c>
      <c r="Z579" s="6"/>
      <c r="AA579" s="6"/>
    </row>
    <row r="580" spans="1:27" ht="28.95" customHeight="1" x14ac:dyDescent="0.3">
      <c r="A580" s="91"/>
      <c r="B580" s="91"/>
      <c r="C580" s="80"/>
      <c r="D580" s="91"/>
      <c r="E580" s="80"/>
      <c r="F580" s="6"/>
      <c r="G580" s="6"/>
      <c r="H580" s="25"/>
      <c r="I580" s="133"/>
      <c r="J580" s="6"/>
      <c r="K580" s="6"/>
      <c r="L580" s="6"/>
      <c r="M580" s="6"/>
      <c r="N580" s="84"/>
      <c r="O580" s="80" t="str">
        <f>IF(N580="","",VLOOKUP(N580,ROLES!B:C,2,FALSE))</f>
        <v/>
      </c>
      <c r="P580" s="15"/>
      <c r="Q580" s="15"/>
      <c r="R580" s="16">
        <f t="shared" si="18"/>
        <v>0</v>
      </c>
      <c r="S580" s="16"/>
      <c r="T580" s="80" t="str">
        <f>IF(S580="","",VLOOKUP(S580,VALORACION!F:G,2,FALSE))</f>
        <v/>
      </c>
      <c r="U580" s="11"/>
      <c r="V580" s="80" t="str">
        <f>IF(U580="","",VLOOKUP(U580,ROLES!G:H,2,FALSE))</f>
        <v/>
      </c>
      <c r="W580" s="11"/>
      <c r="X580" s="80" t="str">
        <f>IF(W580="","",VLOOKUP(W580,ROLES!I:J,2,FALSE))</f>
        <v/>
      </c>
      <c r="Y580" s="95" t="e">
        <f t="shared" si="17"/>
        <v>#VALUE!</v>
      </c>
      <c r="Z580" s="6"/>
      <c r="AA580" s="6"/>
    </row>
    <row r="581" spans="1:27" ht="28.95" customHeight="1" x14ac:dyDescent="0.3">
      <c r="A581" s="91"/>
      <c r="B581" s="91"/>
      <c r="C581" s="80"/>
      <c r="D581" s="91"/>
      <c r="E581" s="80"/>
      <c r="F581" s="6"/>
      <c r="G581" s="6"/>
      <c r="H581" s="25"/>
      <c r="I581" s="133"/>
      <c r="J581" s="6"/>
      <c r="K581" s="6"/>
      <c r="L581" s="6"/>
      <c r="M581" s="6"/>
      <c r="N581" s="84"/>
      <c r="O581" s="80" t="str">
        <f>IF(N581="","",VLOOKUP(N581,ROLES!B:C,2,FALSE))</f>
        <v/>
      </c>
      <c r="P581" s="15"/>
      <c r="Q581" s="15"/>
      <c r="R581" s="16">
        <f t="shared" si="18"/>
        <v>0</v>
      </c>
      <c r="S581" s="16"/>
      <c r="T581" s="80" t="str">
        <f>IF(S581="","",VLOOKUP(S581,VALORACION!F:G,2,FALSE))</f>
        <v/>
      </c>
      <c r="U581" s="11"/>
      <c r="V581" s="80" t="str">
        <f>IF(U581="","",VLOOKUP(U581,ROLES!G:H,2,FALSE))</f>
        <v/>
      </c>
      <c r="W581" s="11"/>
      <c r="X581" s="80" t="str">
        <f>IF(W581="","",VLOOKUP(W581,ROLES!I:J,2,FALSE))</f>
        <v/>
      </c>
      <c r="Y581" s="95" t="e">
        <f t="shared" ref="Y581:Y644" si="19">(VALUE(O581)+VALUE(V581)+VALUE(X581)+VALUE(T581))/3</f>
        <v>#VALUE!</v>
      </c>
      <c r="Z581" s="6"/>
      <c r="AA581" s="6"/>
    </row>
    <row r="582" spans="1:27" ht="28.95" customHeight="1" x14ac:dyDescent="0.3">
      <c r="A582" s="91"/>
      <c r="B582" s="91"/>
      <c r="C582" s="80"/>
      <c r="D582" s="91"/>
      <c r="E582" s="80"/>
      <c r="F582" s="6"/>
      <c r="G582" s="6"/>
      <c r="H582" s="25"/>
      <c r="I582" s="133"/>
      <c r="J582" s="6"/>
      <c r="K582" s="6"/>
      <c r="L582" s="6"/>
      <c r="M582" s="6"/>
      <c r="N582" s="84"/>
      <c r="O582" s="80" t="str">
        <f>IF(N582="","",VLOOKUP(N582,ROLES!B:C,2,FALSE))</f>
        <v/>
      </c>
      <c r="P582" s="15"/>
      <c r="Q582" s="15"/>
      <c r="R582" s="16">
        <f t="shared" si="18"/>
        <v>0</v>
      </c>
      <c r="S582" s="16"/>
      <c r="T582" s="80" t="str">
        <f>IF(S582="","",VLOOKUP(S582,VALORACION!F:G,2,FALSE))</f>
        <v/>
      </c>
      <c r="U582" s="11"/>
      <c r="V582" s="80" t="str">
        <f>IF(U582="","",VLOOKUP(U582,ROLES!G:H,2,FALSE))</f>
        <v/>
      </c>
      <c r="W582" s="11"/>
      <c r="X582" s="80" t="str">
        <f>IF(W582="","",VLOOKUP(W582,ROLES!I:J,2,FALSE))</f>
        <v/>
      </c>
      <c r="Y582" s="95" t="e">
        <f t="shared" si="19"/>
        <v>#VALUE!</v>
      </c>
      <c r="Z582" s="6"/>
      <c r="AA582" s="6"/>
    </row>
    <row r="583" spans="1:27" ht="28.95" customHeight="1" x14ac:dyDescent="0.3">
      <c r="A583" s="91"/>
      <c r="B583" s="91"/>
      <c r="C583" s="80"/>
      <c r="D583" s="91"/>
      <c r="E583" s="80"/>
      <c r="F583" s="6"/>
      <c r="G583" s="6"/>
      <c r="H583" s="25"/>
      <c r="I583" s="133"/>
      <c r="J583" s="6"/>
      <c r="K583" s="6"/>
      <c r="L583" s="6"/>
      <c r="M583" s="6"/>
      <c r="N583" s="84"/>
      <c r="O583" s="80" t="str">
        <f>IF(N583="","",VLOOKUP(N583,ROLES!B:C,2,FALSE))</f>
        <v/>
      </c>
      <c r="P583" s="15"/>
      <c r="Q583" s="15"/>
      <c r="R583" s="16">
        <f t="shared" ref="R583:R646" si="20">DATEDIF(P583,Q583,"m")</f>
        <v>0</v>
      </c>
      <c r="S583" s="16"/>
      <c r="T583" s="80" t="str">
        <f>IF(S583="","",VLOOKUP(S583,VALORACION!F:G,2,FALSE))</f>
        <v/>
      </c>
      <c r="U583" s="11"/>
      <c r="V583" s="80" t="str">
        <f>IF(U583="","",VLOOKUP(U583,ROLES!G:H,2,FALSE))</f>
        <v/>
      </c>
      <c r="W583" s="11"/>
      <c r="X583" s="80" t="str">
        <f>IF(W583="","",VLOOKUP(W583,ROLES!I:J,2,FALSE))</f>
        <v/>
      </c>
      <c r="Y583" s="95" t="e">
        <f t="shared" si="19"/>
        <v>#VALUE!</v>
      </c>
      <c r="Z583" s="6"/>
      <c r="AA583" s="6"/>
    </row>
    <row r="584" spans="1:27" ht="28.95" customHeight="1" x14ac:dyDescent="0.3">
      <c r="A584" s="91"/>
      <c r="B584" s="91"/>
      <c r="C584" s="80"/>
      <c r="D584" s="91"/>
      <c r="E584" s="80"/>
      <c r="F584" s="6"/>
      <c r="G584" s="6"/>
      <c r="H584" s="25"/>
      <c r="I584" s="133"/>
      <c r="J584" s="6"/>
      <c r="K584" s="6"/>
      <c r="L584" s="6"/>
      <c r="M584" s="6"/>
      <c r="N584" s="84"/>
      <c r="O584" s="80" t="str">
        <f>IF(N584="","",VLOOKUP(N584,ROLES!B:C,2,FALSE))</f>
        <v/>
      </c>
      <c r="P584" s="15"/>
      <c r="Q584" s="15"/>
      <c r="R584" s="16">
        <f t="shared" si="20"/>
        <v>0</v>
      </c>
      <c r="S584" s="16"/>
      <c r="T584" s="80" t="str">
        <f>IF(S584="","",VLOOKUP(S584,VALORACION!F:G,2,FALSE))</f>
        <v/>
      </c>
      <c r="U584" s="11"/>
      <c r="V584" s="80" t="str">
        <f>IF(U584="","",VLOOKUP(U584,ROLES!G:H,2,FALSE))</f>
        <v/>
      </c>
      <c r="W584" s="11"/>
      <c r="X584" s="80" t="str">
        <f>IF(W584="","",VLOOKUP(W584,ROLES!I:J,2,FALSE))</f>
        <v/>
      </c>
      <c r="Y584" s="95" t="e">
        <f t="shared" si="19"/>
        <v>#VALUE!</v>
      </c>
      <c r="Z584" s="6"/>
      <c r="AA584" s="6"/>
    </row>
    <row r="585" spans="1:27" ht="28.95" customHeight="1" x14ac:dyDescent="0.3">
      <c r="A585" s="91"/>
      <c r="B585" s="91"/>
      <c r="C585" s="80"/>
      <c r="D585" s="91"/>
      <c r="E585" s="80"/>
      <c r="F585" s="6"/>
      <c r="G585" s="6"/>
      <c r="H585" s="25"/>
      <c r="I585" s="133"/>
      <c r="J585" s="6"/>
      <c r="K585" s="6"/>
      <c r="L585" s="6"/>
      <c r="M585" s="6"/>
      <c r="N585" s="84"/>
      <c r="O585" s="80" t="str">
        <f>IF(N585="","",VLOOKUP(N585,ROLES!B:C,2,FALSE))</f>
        <v/>
      </c>
      <c r="P585" s="15"/>
      <c r="Q585" s="15"/>
      <c r="R585" s="16">
        <f t="shared" si="20"/>
        <v>0</v>
      </c>
      <c r="S585" s="16"/>
      <c r="T585" s="80" t="str">
        <f>IF(S585="","",VLOOKUP(S585,VALORACION!F:G,2,FALSE))</f>
        <v/>
      </c>
      <c r="U585" s="11"/>
      <c r="V585" s="80" t="str">
        <f>IF(U585="","",VLOOKUP(U585,ROLES!G:H,2,FALSE))</f>
        <v/>
      </c>
      <c r="W585" s="11"/>
      <c r="X585" s="80" t="str">
        <f>IF(W585="","",VLOOKUP(W585,ROLES!I:J,2,FALSE))</f>
        <v/>
      </c>
      <c r="Y585" s="95" t="e">
        <f t="shared" si="19"/>
        <v>#VALUE!</v>
      </c>
      <c r="Z585" s="6"/>
      <c r="AA585" s="6"/>
    </row>
    <row r="586" spans="1:27" ht="28.95" customHeight="1" x14ac:dyDescent="0.3">
      <c r="A586" s="91"/>
      <c r="B586" s="91"/>
      <c r="C586" s="80"/>
      <c r="D586" s="91"/>
      <c r="E586" s="80"/>
      <c r="F586" s="6"/>
      <c r="G586" s="6"/>
      <c r="H586" s="25"/>
      <c r="I586" s="133"/>
      <c r="J586" s="6"/>
      <c r="K586" s="6"/>
      <c r="L586" s="6"/>
      <c r="M586" s="6"/>
      <c r="N586" s="84"/>
      <c r="O586" s="80" t="str">
        <f>IF(N586="","",VLOOKUP(N586,ROLES!B:C,2,FALSE))</f>
        <v/>
      </c>
      <c r="P586" s="15"/>
      <c r="Q586" s="15"/>
      <c r="R586" s="16">
        <f t="shared" si="20"/>
        <v>0</v>
      </c>
      <c r="S586" s="16"/>
      <c r="T586" s="80" t="str">
        <f>IF(S586="","",VLOOKUP(S586,VALORACION!F:G,2,FALSE))</f>
        <v/>
      </c>
      <c r="U586" s="11"/>
      <c r="V586" s="80" t="str">
        <f>IF(U586="","",VLOOKUP(U586,ROLES!G:H,2,FALSE))</f>
        <v/>
      </c>
      <c r="W586" s="11"/>
      <c r="X586" s="80" t="str">
        <f>IF(W586="","",VLOOKUP(W586,ROLES!I:J,2,FALSE))</f>
        <v/>
      </c>
      <c r="Y586" s="95" t="e">
        <f t="shared" si="19"/>
        <v>#VALUE!</v>
      </c>
      <c r="Z586" s="6"/>
      <c r="AA586" s="6"/>
    </row>
    <row r="587" spans="1:27" ht="28.95" customHeight="1" x14ac:dyDescent="0.3">
      <c r="A587" s="91"/>
      <c r="B587" s="91"/>
      <c r="C587" s="80"/>
      <c r="D587" s="91"/>
      <c r="E587" s="80"/>
      <c r="F587" s="6"/>
      <c r="G587" s="6"/>
      <c r="H587" s="25"/>
      <c r="I587" s="133"/>
      <c r="J587" s="6"/>
      <c r="K587" s="6"/>
      <c r="L587" s="6"/>
      <c r="M587" s="6"/>
      <c r="N587" s="84"/>
      <c r="O587" s="80" t="str">
        <f>IF(N587="","",VLOOKUP(N587,ROLES!B:C,2,FALSE))</f>
        <v/>
      </c>
      <c r="P587" s="15"/>
      <c r="Q587" s="15"/>
      <c r="R587" s="16">
        <f t="shared" si="20"/>
        <v>0</v>
      </c>
      <c r="S587" s="16"/>
      <c r="T587" s="80" t="str">
        <f>IF(S587="","",VLOOKUP(S587,VALORACION!F:G,2,FALSE))</f>
        <v/>
      </c>
      <c r="U587" s="11"/>
      <c r="V587" s="80" t="str">
        <f>IF(U587="","",VLOOKUP(U587,ROLES!G:H,2,FALSE))</f>
        <v/>
      </c>
      <c r="W587" s="11"/>
      <c r="X587" s="80" t="str">
        <f>IF(W587="","",VLOOKUP(W587,ROLES!I:J,2,FALSE))</f>
        <v/>
      </c>
      <c r="Y587" s="95" t="e">
        <f t="shared" si="19"/>
        <v>#VALUE!</v>
      </c>
      <c r="Z587" s="6"/>
      <c r="AA587" s="6"/>
    </row>
    <row r="588" spans="1:27" ht="28.95" customHeight="1" x14ac:dyDescent="0.3">
      <c r="A588" s="91"/>
      <c r="B588" s="91"/>
      <c r="C588" s="80"/>
      <c r="D588" s="91"/>
      <c r="E588" s="80"/>
      <c r="F588" s="6"/>
      <c r="G588" s="6"/>
      <c r="H588" s="25"/>
      <c r="I588" s="133"/>
      <c r="J588" s="6"/>
      <c r="K588" s="6"/>
      <c r="L588" s="6"/>
      <c r="M588" s="6"/>
      <c r="N588" s="84"/>
      <c r="O588" s="80" t="str">
        <f>IF(N588="","",VLOOKUP(N588,ROLES!B:C,2,FALSE))</f>
        <v/>
      </c>
      <c r="P588" s="15"/>
      <c r="Q588" s="15"/>
      <c r="R588" s="16">
        <f t="shared" si="20"/>
        <v>0</v>
      </c>
      <c r="S588" s="16"/>
      <c r="T588" s="80" t="str">
        <f>IF(S588="","",VLOOKUP(S588,VALORACION!F:G,2,FALSE))</f>
        <v/>
      </c>
      <c r="U588" s="11"/>
      <c r="V588" s="80" t="str">
        <f>IF(U588="","",VLOOKUP(U588,ROLES!G:H,2,FALSE))</f>
        <v/>
      </c>
      <c r="W588" s="11"/>
      <c r="X588" s="80" t="str">
        <f>IF(W588="","",VLOOKUP(W588,ROLES!I:J,2,FALSE))</f>
        <v/>
      </c>
      <c r="Y588" s="95" t="e">
        <f t="shared" si="19"/>
        <v>#VALUE!</v>
      </c>
      <c r="Z588" s="6"/>
      <c r="AA588" s="6"/>
    </row>
    <row r="589" spans="1:27" ht="28.95" customHeight="1" x14ac:dyDescent="0.3">
      <c r="A589" s="91"/>
      <c r="B589" s="91"/>
      <c r="C589" s="80"/>
      <c r="D589" s="91"/>
      <c r="E589" s="80"/>
      <c r="F589" s="6"/>
      <c r="G589" s="6"/>
      <c r="H589" s="25"/>
      <c r="I589" s="133"/>
      <c r="J589" s="6"/>
      <c r="K589" s="6"/>
      <c r="L589" s="6"/>
      <c r="M589" s="6"/>
      <c r="N589" s="84"/>
      <c r="O589" s="80" t="str">
        <f>IF(N589="","",VLOOKUP(N589,ROLES!B:C,2,FALSE))</f>
        <v/>
      </c>
      <c r="P589" s="15"/>
      <c r="Q589" s="15"/>
      <c r="R589" s="16">
        <f t="shared" si="20"/>
        <v>0</v>
      </c>
      <c r="S589" s="16"/>
      <c r="T589" s="80" t="str">
        <f>IF(S589="","",VLOOKUP(S589,VALORACION!F:G,2,FALSE))</f>
        <v/>
      </c>
      <c r="U589" s="11"/>
      <c r="V589" s="80" t="str">
        <f>IF(U589="","",VLOOKUP(U589,ROLES!G:H,2,FALSE))</f>
        <v/>
      </c>
      <c r="W589" s="11"/>
      <c r="X589" s="80" t="str">
        <f>IF(W589="","",VLOOKUP(W589,ROLES!I:J,2,FALSE))</f>
        <v/>
      </c>
      <c r="Y589" s="95" t="e">
        <f t="shared" si="19"/>
        <v>#VALUE!</v>
      </c>
      <c r="Z589" s="6"/>
      <c r="AA589" s="6"/>
    </row>
    <row r="590" spans="1:27" ht="28.95" customHeight="1" x14ac:dyDescent="0.3">
      <c r="A590" s="91"/>
      <c r="B590" s="91"/>
      <c r="C590" s="80"/>
      <c r="D590" s="91"/>
      <c r="E590" s="80"/>
      <c r="F590" s="6"/>
      <c r="G590" s="6"/>
      <c r="H590" s="25"/>
      <c r="I590" s="133"/>
      <c r="J590" s="6"/>
      <c r="K590" s="6"/>
      <c r="L590" s="6"/>
      <c r="M590" s="6"/>
      <c r="N590" s="84"/>
      <c r="O590" s="80" t="str">
        <f>IF(N590="","",VLOOKUP(N590,ROLES!B:C,2,FALSE))</f>
        <v/>
      </c>
      <c r="P590" s="15"/>
      <c r="Q590" s="15"/>
      <c r="R590" s="16">
        <f t="shared" si="20"/>
        <v>0</v>
      </c>
      <c r="S590" s="16"/>
      <c r="T590" s="80" t="str">
        <f>IF(S590="","",VLOOKUP(S590,VALORACION!F:G,2,FALSE))</f>
        <v/>
      </c>
      <c r="U590" s="11"/>
      <c r="V590" s="80" t="str">
        <f>IF(U590="","",VLOOKUP(U590,ROLES!G:H,2,FALSE))</f>
        <v/>
      </c>
      <c r="W590" s="11"/>
      <c r="X590" s="80" t="str">
        <f>IF(W590="","",VLOOKUP(W590,ROLES!I:J,2,FALSE))</f>
        <v/>
      </c>
      <c r="Y590" s="95" t="e">
        <f t="shared" si="19"/>
        <v>#VALUE!</v>
      </c>
      <c r="Z590" s="6"/>
      <c r="AA590" s="6"/>
    </row>
    <row r="591" spans="1:27" ht="28.95" customHeight="1" x14ac:dyDescent="0.3">
      <c r="A591" s="91"/>
      <c r="B591" s="91"/>
      <c r="C591" s="80"/>
      <c r="D591" s="91"/>
      <c r="E591" s="80"/>
      <c r="F591" s="6"/>
      <c r="G591" s="6"/>
      <c r="H591" s="25"/>
      <c r="I591" s="133"/>
      <c r="J591" s="6"/>
      <c r="K591" s="6"/>
      <c r="L591" s="6"/>
      <c r="M591" s="6"/>
      <c r="N591" s="84"/>
      <c r="O591" s="80" t="str">
        <f>IF(N591="","",VLOOKUP(N591,ROLES!B:C,2,FALSE))</f>
        <v/>
      </c>
      <c r="P591" s="15"/>
      <c r="Q591" s="15"/>
      <c r="R591" s="16">
        <f t="shared" si="20"/>
        <v>0</v>
      </c>
      <c r="S591" s="16"/>
      <c r="T591" s="80" t="str">
        <f>IF(S591="","",VLOOKUP(S591,VALORACION!F:G,2,FALSE))</f>
        <v/>
      </c>
      <c r="U591" s="11"/>
      <c r="V591" s="80" t="str">
        <f>IF(U591="","",VLOOKUP(U591,ROLES!G:H,2,FALSE))</f>
        <v/>
      </c>
      <c r="W591" s="11"/>
      <c r="X591" s="80" t="str">
        <f>IF(W591="","",VLOOKUP(W591,ROLES!I:J,2,FALSE))</f>
        <v/>
      </c>
      <c r="Y591" s="95" t="e">
        <f t="shared" si="19"/>
        <v>#VALUE!</v>
      </c>
      <c r="Z591" s="6"/>
      <c r="AA591" s="6"/>
    </row>
    <row r="592" spans="1:27" ht="28.95" customHeight="1" x14ac:dyDescent="0.3">
      <c r="A592" s="91"/>
      <c r="B592" s="91"/>
      <c r="C592" s="80"/>
      <c r="D592" s="91"/>
      <c r="E592" s="80"/>
      <c r="F592" s="6"/>
      <c r="G592" s="6"/>
      <c r="H592" s="25"/>
      <c r="I592" s="133"/>
      <c r="J592" s="6"/>
      <c r="K592" s="6"/>
      <c r="L592" s="6"/>
      <c r="M592" s="6"/>
      <c r="N592" s="84"/>
      <c r="O592" s="80" t="str">
        <f>IF(N592="","",VLOOKUP(N592,ROLES!B:C,2,FALSE))</f>
        <v/>
      </c>
      <c r="P592" s="15"/>
      <c r="Q592" s="15"/>
      <c r="R592" s="16">
        <f t="shared" si="20"/>
        <v>0</v>
      </c>
      <c r="S592" s="16"/>
      <c r="T592" s="80" t="str">
        <f>IF(S592="","",VLOOKUP(S592,VALORACION!F:G,2,FALSE))</f>
        <v/>
      </c>
      <c r="U592" s="11"/>
      <c r="V592" s="80" t="str">
        <f>IF(U592="","",VLOOKUP(U592,ROLES!G:H,2,FALSE))</f>
        <v/>
      </c>
      <c r="W592" s="11"/>
      <c r="X592" s="80" t="str">
        <f>IF(W592="","",VLOOKUP(W592,ROLES!I:J,2,FALSE))</f>
        <v/>
      </c>
      <c r="Y592" s="95" t="e">
        <f t="shared" si="19"/>
        <v>#VALUE!</v>
      </c>
      <c r="Z592" s="6"/>
      <c r="AA592" s="6"/>
    </row>
    <row r="593" spans="1:27" ht="28.95" customHeight="1" x14ac:dyDescent="0.3">
      <c r="A593" s="91"/>
      <c r="B593" s="91"/>
      <c r="C593" s="80"/>
      <c r="D593" s="91"/>
      <c r="E593" s="80"/>
      <c r="F593" s="6"/>
      <c r="G593" s="6"/>
      <c r="H593" s="25"/>
      <c r="I593" s="133"/>
      <c r="J593" s="6"/>
      <c r="K593" s="6"/>
      <c r="L593" s="6"/>
      <c r="M593" s="6"/>
      <c r="N593" s="84"/>
      <c r="O593" s="80" t="str">
        <f>IF(N593="","",VLOOKUP(N593,ROLES!B:C,2,FALSE))</f>
        <v/>
      </c>
      <c r="P593" s="15"/>
      <c r="Q593" s="15"/>
      <c r="R593" s="16">
        <f t="shared" si="20"/>
        <v>0</v>
      </c>
      <c r="S593" s="16"/>
      <c r="T593" s="80" t="str">
        <f>IF(S593="","",VLOOKUP(S593,VALORACION!F:G,2,FALSE))</f>
        <v/>
      </c>
      <c r="U593" s="11"/>
      <c r="V593" s="80" t="str">
        <f>IF(U593="","",VLOOKUP(U593,ROLES!G:H,2,FALSE))</f>
        <v/>
      </c>
      <c r="W593" s="11"/>
      <c r="X593" s="80" t="str">
        <f>IF(W593="","",VLOOKUP(W593,ROLES!I:J,2,FALSE))</f>
        <v/>
      </c>
      <c r="Y593" s="95" t="e">
        <f t="shared" si="19"/>
        <v>#VALUE!</v>
      </c>
      <c r="Z593" s="6"/>
      <c r="AA593" s="6"/>
    </row>
    <row r="594" spans="1:27" ht="28.95" customHeight="1" x14ac:dyDescent="0.3">
      <c r="A594" s="91"/>
      <c r="B594" s="91"/>
      <c r="C594" s="80"/>
      <c r="D594" s="91"/>
      <c r="E594" s="80"/>
      <c r="F594" s="6"/>
      <c r="G594" s="6"/>
      <c r="H594" s="25"/>
      <c r="I594" s="133"/>
      <c r="J594" s="6"/>
      <c r="K594" s="6"/>
      <c r="L594" s="6"/>
      <c r="M594" s="6"/>
      <c r="N594" s="84"/>
      <c r="O594" s="80" t="str">
        <f>IF(N594="","",VLOOKUP(N594,ROLES!B:C,2,FALSE))</f>
        <v/>
      </c>
      <c r="P594" s="15"/>
      <c r="Q594" s="15"/>
      <c r="R594" s="16">
        <f t="shared" si="20"/>
        <v>0</v>
      </c>
      <c r="S594" s="16"/>
      <c r="T594" s="80" t="str">
        <f>IF(S594="","",VLOOKUP(S594,VALORACION!F:G,2,FALSE))</f>
        <v/>
      </c>
      <c r="U594" s="11"/>
      <c r="V594" s="80" t="str">
        <f>IF(U594="","",VLOOKUP(U594,ROLES!G:H,2,FALSE))</f>
        <v/>
      </c>
      <c r="W594" s="11"/>
      <c r="X594" s="80" t="str">
        <f>IF(W594="","",VLOOKUP(W594,ROLES!I:J,2,FALSE))</f>
        <v/>
      </c>
      <c r="Y594" s="95" t="e">
        <f t="shared" si="19"/>
        <v>#VALUE!</v>
      </c>
      <c r="Z594" s="6"/>
      <c r="AA594" s="6"/>
    </row>
    <row r="595" spans="1:27" ht="28.95" customHeight="1" x14ac:dyDescent="0.3">
      <c r="A595" s="91"/>
      <c r="B595" s="91"/>
      <c r="C595" s="80"/>
      <c r="D595" s="91"/>
      <c r="E595" s="80"/>
      <c r="F595" s="6"/>
      <c r="G595" s="6"/>
      <c r="H595" s="25"/>
      <c r="I595" s="133"/>
      <c r="J595" s="6"/>
      <c r="K595" s="6"/>
      <c r="L595" s="6"/>
      <c r="M595" s="6"/>
      <c r="N595" s="84"/>
      <c r="O595" s="80" t="str">
        <f>IF(N595="","",VLOOKUP(N595,ROLES!B:C,2,FALSE))</f>
        <v/>
      </c>
      <c r="P595" s="15"/>
      <c r="Q595" s="15"/>
      <c r="R595" s="16">
        <f t="shared" si="20"/>
        <v>0</v>
      </c>
      <c r="S595" s="16"/>
      <c r="T595" s="80" t="str">
        <f>IF(S595="","",VLOOKUP(S595,VALORACION!F:G,2,FALSE))</f>
        <v/>
      </c>
      <c r="U595" s="11"/>
      <c r="V595" s="80" t="str">
        <f>IF(U595="","",VLOOKUP(U595,ROLES!G:H,2,FALSE))</f>
        <v/>
      </c>
      <c r="W595" s="11"/>
      <c r="X595" s="80" t="str">
        <f>IF(W595="","",VLOOKUP(W595,ROLES!I:J,2,FALSE))</f>
        <v/>
      </c>
      <c r="Y595" s="95" t="e">
        <f t="shared" si="19"/>
        <v>#VALUE!</v>
      </c>
      <c r="Z595" s="6"/>
      <c r="AA595" s="6"/>
    </row>
    <row r="596" spans="1:27" ht="28.95" customHeight="1" x14ac:dyDescent="0.3">
      <c r="A596" s="91"/>
      <c r="B596" s="91"/>
      <c r="C596" s="80"/>
      <c r="D596" s="91"/>
      <c r="E596" s="80"/>
      <c r="F596" s="6"/>
      <c r="G596" s="6"/>
      <c r="H596" s="25"/>
      <c r="I596" s="133"/>
      <c r="J596" s="6"/>
      <c r="K596" s="6"/>
      <c r="L596" s="6"/>
      <c r="M596" s="6"/>
      <c r="N596" s="84"/>
      <c r="O596" s="80" t="str">
        <f>IF(N596="","",VLOOKUP(N596,ROLES!B:C,2,FALSE))</f>
        <v/>
      </c>
      <c r="P596" s="15"/>
      <c r="Q596" s="15"/>
      <c r="R596" s="16">
        <f t="shared" si="20"/>
        <v>0</v>
      </c>
      <c r="S596" s="16"/>
      <c r="T596" s="80" t="str">
        <f>IF(S596="","",VLOOKUP(S596,VALORACION!F:G,2,FALSE))</f>
        <v/>
      </c>
      <c r="U596" s="11"/>
      <c r="V596" s="80" t="str">
        <f>IF(U596="","",VLOOKUP(U596,ROLES!G:H,2,FALSE))</f>
        <v/>
      </c>
      <c r="W596" s="11"/>
      <c r="X596" s="80" t="str">
        <f>IF(W596="","",VLOOKUP(W596,ROLES!I:J,2,FALSE))</f>
        <v/>
      </c>
      <c r="Y596" s="95" t="e">
        <f t="shared" si="19"/>
        <v>#VALUE!</v>
      </c>
      <c r="Z596" s="6"/>
      <c r="AA596" s="6"/>
    </row>
    <row r="597" spans="1:27" ht="28.95" customHeight="1" x14ac:dyDescent="0.3">
      <c r="A597" s="91"/>
      <c r="B597" s="91"/>
      <c r="C597" s="80"/>
      <c r="D597" s="91"/>
      <c r="E597" s="80"/>
      <c r="F597" s="6"/>
      <c r="G597" s="6"/>
      <c r="H597" s="25"/>
      <c r="I597" s="133"/>
      <c r="J597" s="6"/>
      <c r="K597" s="6"/>
      <c r="L597" s="6"/>
      <c r="M597" s="6"/>
      <c r="N597" s="84"/>
      <c r="O597" s="80" t="str">
        <f>IF(N597="","",VLOOKUP(N597,ROLES!B:C,2,FALSE))</f>
        <v/>
      </c>
      <c r="P597" s="15"/>
      <c r="Q597" s="15"/>
      <c r="R597" s="16">
        <f t="shared" si="20"/>
        <v>0</v>
      </c>
      <c r="S597" s="16"/>
      <c r="T597" s="80" t="str">
        <f>IF(S597="","",VLOOKUP(S597,VALORACION!F:G,2,FALSE))</f>
        <v/>
      </c>
      <c r="U597" s="11"/>
      <c r="V597" s="80" t="str">
        <f>IF(U597="","",VLOOKUP(U597,ROLES!G:H,2,FALSE))</f>
        <v/>
      </c>
      <c r="W597" s="11"/>
      <c r="X597" s="80" t="str">
        <f>IF(W597="","",VLOOKUP(W597,ROLES!I:J,2,FALSE))</f>
        <v/>
      </c>
      <c r="Y597" s="95" t="e">
        <f t="shared" si="19"/>
        <v>#VALUE!</v>
      </c>
      <c r="Z597" s="6"/>
      <c r="AA597" s="6"/>
    </row>
    <row r="598" spans="1:27" ht="28.95" customHeight="1" x14ac:dyDescent="0.3">
      <c r="A598" s="91"/>
      <c r="B598" s="91"/>
      <c r="C598" s="80"/>
      <c r="D598" s="91"/>
      <c r="E598" s="80"/>
      <c r="F598" s="6"/>
      <c r="G598" s="6"/>
      <c r="H598" s="25"/>
      <c r="I598" s="133"/>
      <c r="J598" s="6"/>
      <c r="K598" s="6"/>
      <c r="L598" s="6"/>
      <c r="M598" s="6"/>
      <c r="N598" s="84"/>
      <c r="O598" s="80" t="str">
        <f>IF(N598="","",VLOOKUP(N598,ROLES!B:C,2,FALSE))</f>
        <v/>
      </c>
      <c r="P598" s="15"/>
      <c r="Q598" s="15"/>
      <c r="R598" s="16">
        <f t="shared" si="20"/>
        <v>0</v>
      </c>
      <c r="S598" s="16"/>
      <c r="T598" s="80" t="str">
        <f>IF(S598="","",VLOOKUP(S598,VALORACION!F:G,2,FALSE))</f>
        <v/>
      </c>
      <c r="U598" s="11"/>
      <c r="V598" s="80" t="str">
        <f>IF(U598="","",VLOOKUP(U598,ROLES!G:H,2,FALSE))</f>
        <v/>
      </c>
      <c r="W598" s="11"/>
      <c r="X598" s="80" t="str">
        <f>IF(W598="","",VLOOKUP(W598,ROLES!I:J,2,FALSE))</f>
        <v/>
      </c>
      <c r="Y598" s="95" t="e">
        <f t="shared" si="19"/>
        <v>#VALUE!</v>
      </c>
      <c r="Z598" s="6"/>
      <c r="AA598" s="6"/>
    </row>
    <row r="599" spans="1:27" ht="28.95" customHeight="1" x14ac:dyDescent="0.3">
      <c r="A599" s="91"/>
      <c r="B599" s="91"/>
      <c r="C599" s="80"/>
      <c r="D599" s="91"/>
      <c r="E599" s="80"/>
      <c r="F599" s="6"/>
      <c r="G599" s="6"/>
      <c r="H599" s="25"/>
      <c r="I599" s="133"/>
      <c r="J599" s="6"/>
      <c r="K599" s="6"/>
      <c r="L599" s="6"/>
      <c r="M599" s="6"/>
      <c r="N599" s="84"/>
      <c r="O599" s="80" t="str">
        <f>IF(N599="","",VLOOKUP(N599,ROLES!B:C,2,FALSE))</f>
        <v/>
      </c>
      <c r="P599" s="15"/>
      <c r="Q599" s="15"/>
      <c r="R599" s="16">
        <f t="shared" si="20"/>
        <v>0</v>
      </c>
      <c r="S599" s="16"/>
      <c r="T599" s="80" t="str">
        <f>IF(S599="","",VLOOKUP(S599,VALORACION!F:G,2,FALSE))</f>
        <v/>
      </c>
      <c r="U599" s="11"/>
      <c r="V599" s="80" t="str">
        <f>IF(U599="","",VLOOKUP(U599,ROLES!G:H,2,FALSE))</f>
        <v/>
      </c>
      <c r="W599" s="11"/>
      <c r="X599" s="80" t="str">
        <f>IF(W599="","",VLOOKUP(W599,ROLES!I:J,2,FALSE))</f>
        <v/>
      </c>
      <c r="Y599" s="95" t="e">
        <f t="shared" si="19"/>
        <v>#VALUE!</v>
      </c>
      <c r="Z599" s="6"/>
      <c r="AA599" s="6"/>
    </row>
    <row r="600" spans="1:27" ht="28.95" customHeight="1" x14ac:dyDescent="0.3">
      <c r="A600" s="91"/>
      <c r="B600" s="91"/>
      <c r="C600" s="80"/>
      <c r="D600" s="91"/>
      <c r="E600" s="80"/>
      <c r="F600" s="6"/>
      <c r="G600" s="6"/>
      <c r="H600" s="25"/>
      <c r="I600" s="133"/>
      <c r="J600" s="6"/>
      <c r="K600" s="6"/>
      <c r="L600" s="6"/>
      <c r="M600" s="6"/>
      <c r="N600" s="84"/>
      <c r="O600" s="80" t="str">
        <f>IF(N600="","",VLOOKUP(N600,ROLES!B:C,2,FALSE))</f>
        <v/>
      </c>
      <c r="P600" s="15"/>
      <c r="Q600" s="15"/>
      <c r="R600" s="16">
        <f t="shared" si="20"/>
        <v>0</v>
      </c>
      <c r="S600" s="16"/>
      <c r="T600" s="80" t="str">
        <f>IF(S600="","",VLOOKUP(S600,VALORACION!F:G,2,FALSE))</f>
        <v/>
      </c>
      <c r="U600" s="11"/>
      <c r="V600" s="80" t="str">
        <f>IF(U600="","",VLOOKUP(U600,ROLES!G:H,2,FALSE))</f>
        <v/>
      </c>
      <c r="W600" s="11"/>
      <c r="X600" s="80" t="str">
        <f>IF(W600="","",VLOOKUP(W600,ROLES!I:J,2,FALSE))</f>
        <v/>
      </c>
      <c r="Y600" s="95" t="e">
        <f t="shared" si="19"/>
        <v>#VALUE!</v>
      </c>
      <c r="Z600" s="6"/>
      <c r="AA600" s="6"/>
    </row>
    <row r="601" spans="1:27" ht="28.95" customHeight="1" x14ac:dyDescent="0.3">
      <c r="A601" s="91"/>
      <c r="B601" s="91"/>
      <c r="C601" s="80"/>
      <c r="D601" s="91"/>
      <c r="E601" s="80"/>
      <c r="F601" s="6"/>
      <c r="G601" s="6"/>
      <c r="H601" s="25"/>
      <c r="I601" s="133"/>
      <c r="J601" s="6"/>
      <c r="K601" s="6"/>
      <c r="L601" s="6"/>
      <c r="M601" s="6"/>
      <c r="N601" s="84"/>
      <c r="O601" s="80" t="str">
        <f>IF(N601="","",VLOOKUP(N601,ROLES!B:C,2,FALSE))</f>
        <v/>
      </c>
      <c r="P601" s="15"/>
      <c r="Q601" s="15"/>
      <c r="R601" s="16">
        <f t="shared" si="20"/>
        <v>0</v>
      </c>
      <c r="S601" s="16"/>
      <c r="T601" s="80" t="str">
        <f>IF(S601="","",VLOOKUP(S601,VALORACION!F:G,2,FALSE))</f>
        <v/>
      </c>
      <c r="U601" s="11"/>
      <c r="V601" s="80" t="str">
        <f>IF(U601="","",VLOOKUP(U601,ROLES!G:H,2,FALSE))</f>
        <v/>
      </c>
      <c r="W601" s="11"/>
      <c r="X601" s="80" t="str">
        <f>IF(W601="","",VLOOKUP(W601,ROLES!I:J,2,FALSE))</f>
        <v/>
      </c>
      <c r="Y601" s="95" t="e">
        <f t="shared" si="19"/>
        <v>#VALUE!</v>
      </c>
      <c r="Z601" s="6"/>
      <c r="AA601" s="6"/>
    </row>
    <row r="602" spans="1:27" ht="28.95" customHeight="1" x14ac:dyDescent="0.3">
      <c r="A602" s="91"/>
      <c r="B602" s="91"/>
      <c r="C602" s="80"/>
      <c r="D602" s="91"/>
      <c r="E602" s="80"/>
      <c r="F602" s="6"/>
      <c r="G602" s="6"/>
      <c r="H602" s="25"/>
      <c r="I602" s="133"/>
      <c r="J602" s="6"/>
      <c r="K602" s="6"/>
      <c r="L602" s="6"/>
      <c r="M602" s="6"/>
      <c r="N602" s="84"/>
      <c r="O602" s="80" t="str">
        <f>IF(N602="","",VLOOKUP(N602,ROLES!B:C,2,FALSE))</f>
        <v/>
      </c>
      <c r="P602" s="15"/>
      <c r="Q602" s="15"/>
      <c r="R602" s="16">
        <f t="shared" si="20"/>
        <v>0</v>
      </c>
      <c r="S602" s="16"/>
      <c r="T602" s="80" t="str">
        <f>IF(S602="","",VLOOKUP(S602,VALORACION!F:G,2,FALSE))</f>
        <v/>
      </c>
      <c r="U602" s="11"/>
      <c r="V602" s="80" t="str">
        <f>IF(U602="","",VLOOKUP(U602,ROLES!G:H,2,FALSE))</f>
        <v/>
      </c>
      <c r="W602" s="11"/>
      <c r="X602" s="80" t="str">
        <f>IF(W602="","",VLOOKUP(W602,ROLES!I:J,2,FALSE))</f>
        <v/>
      </c>
      <c r="Y602" s="95" t="e">
        <f t="shared" si="19"/>
        <v>#VALUE!</v>
      </c>
      <c r="Z602" s="6"/>
      <c r="AA602" s="6"/>
    </row>
    <row r="603" spans="1:27" ht="28.95" customHeight="1" x14ac:dyDescent="0.3">
      <c r="A603" s="91"/>
      <c r="B603" s="91"/>
      <c r="C603" s="80"/>
      <c r="D603" s="91"/>
      <c r="E603" s="80"/>
      <c r="F603" s="6"/>
      <c r="G603" s="6"/>
      <c r="H603" s="25"/>
      <c r="I603" s="133"/>
      <c r="J603" s="6"/>
      <c r="K603" s="6"/>
      <c r="L603" s="6"/>
      <c r="M603" s="6"/>
      <c r="N603" s="84"/>
      <c r="O603" s="80" t="str">
        <f>IF(N603="","",VLOOKUP(N603,ROLES!B:C,2,FALSE))</f>
        <v/>
      </c>
      <c r="P603" s="15"/>
      <c r="Q603" s="15"/>
      <c r="R603" s="16">
        <f t="shared" si="20"/>
        <v>0</v>
      </c>
      <c r="S603" s="16"/>
      <c r="T603" s="80" t="str">
        <f>IF(S603="","",VLOOKUP(S603,VALORACION!F:G,2,FALSE))</f>
        <v/>
      </c>
      <c r="U603" s="11"/>
      <c r="V603" s="80" t="str">
        <f>IF(U603="","",VLOOKUP(U603,ROLES!G:H,2,FALSE))</f>
        <v/>
      </c>
      <c r="W603" s="11"/>
      <c r="X603" s="80" t="str">
        <f>IF(W603="","",VLOOKUP(W603,ROLES!I:J,2,FALSE))</f>
        <v/>
      </c>
      <c r="Y603" s="95" t="e">
        <f t="shared" si="19"/>
        <v>#VALUE!</v>
      </c>
      <c r="Z603" s="6"/>
      <c r="AA603" s="6"/>
    </row>
    <row r="604" spans="1:27" ht="28.95" customHeight="1" x14ac:dyDescent="0.3">
      <c r="A604" s="91"/>
      <c r="B604" s="91"/>
      <c r="C604" s="80"/>
      <c r="D604" s="91"/>
      <c r="E604" s="80"/>
      <c r="F604" s="6"/>
      <c r="G604" s="6"/>
      <c r="H604" s="25"/>
      <c r="I604" s="133"/>
      <c r="J604" s="6"/>
      <c r="K604" s="6"/>
      <c r="L604" s="6"/>
      <c r="M604" s="6"/>
      <c r="N604" s="84"/>
      <c r="O604" s="80" t="str">
        <f>IF(N604="","",VLOOKUP(N604,ROLES!B:C,2,FALSE))</f>
        <v/>
      </c>
      <c r="P604" s="15"/>
      <c r="Q604" s="15"/>
      <c r="R604" s="16">
        <f t="shared" si="20"/>
        <v>0</v>
      </c>
      <c r="S604" s="16"/>
      <c r="T604" s="80" t="str">
        <f>IF(S604="","",VLOOKUP(S604,VALORACION!F:G,2,FALSE))</f>
        <v/>
      </c>
      <c r="U604" s="11"/>
      <c r="V604" s="80" t="str">
        <f>IF(U604="","",VLOOKUP(U604,ROLES!G:H,2,FALSE))</f>
        <v/>
      </c>
      <c r="W604" s="11"/>
      <c r="X604" s="80" t="str">
        <f>IF(W604="","",VLOOKUP(W604,ROLES!I:J,2,FALSE))</f>
        <v/>
      </c>
      <c r="Y604" s="95" t="e">
        <f t="shared" si="19"/>
        <v>#VALUE!</v>
      </c>
      <c r="Z604" s="6"/>
      <c r="AA604" s="6"/>
    </row>
    <row r="605" spans="1:27" ht="28.95" customHeight="1" x14ac:dyDescent="0.3">
      <c r="A605" s="91"/>
      <c r="B605" s="91"/>
      <c r="C605" s="80"/>
      <c r="D605" s="91"/>
      <c r="E605" s="80"/>
      <c r="F605" s="6"/>
      <c r="G605" s="6"/>
      <c r="H605" s="25"/>
      <c r="I605" s="133"/>
      <c r="J605" s="6"/>
      <c r="K605" s="6"/>
      <c r="L605" s="6"/>
      <c r="M605" s="6"/>
      <c r="N605" s="84"/>
      <c r="O605" s="80" t="str">
        <f>IF(N605="","",VLOOKUP(N605,ROLES!B:C,2,FALSE))</f>
        <v/>
      </c>
      <c r="P605" s="15"/>
      <c r="Q605" s="15"/>
      <c r="R605" s="16">
        <f t="shared" si="20"/>
        <v>0</v>
      </c>
      <c r="S605" s="16"/>
      <c r="T605" s="80" t="str">
        <f>IF(S605="","",VLOOKUP(S605,VALORACION!F:G,2,FALSE))</f>
        <v/>
      </c>
      <c r="U605" s="11"/>
      <c r="V605" s="80" t="str">
        <f>IF(U605="","",VLOOKUP(U605,ROLES!G:H,2,FALSE))</f>
        <v/>
      </c>
      <c r="W605" s="11"/>
      <c r="X605" s="80" t="str">
        <f>IF(W605="","",VLOOKUP(W605,ROLES!I:J,2,FALSE))</f>
        <v/>
      </c>
      <c r="Y605" s="95" t="e">
        <f t="shared" si="19"/>
        <v>#VALUE!</v>
      </c>
      <c r="Z605" s="6"/>
      <c r="AA605" s="6"/>
    </row>
    <row r="606" spans="1:27" ht="28.95" customHeight="1" x14ac:dyDescent="0.3">
      <c r="A606" s="91"/>
      <c r="B606" s="91"/>
      <c r="C606" s="80"/>
      <c r="D606" s="91"/>
      <c r="E606" s="80"/>
      <c r="F606" s="6"/>
      <c r="G606" s="6"/>
      <c r="H606" s="25"/>
      <c r="I606" s="133"/>
      <c r="J606" s="6"/>
      <c r="K606" s="6"/>
      <c r="L606" s="6"/>
      <c r="M606" s="6"/>
      <c r="N606" s="84"/>
      <c r="O606" s="80" t="str">
        <f>IF(N606="","",VLOOKUP(N606,ROLES!B:C,2,FALSE))</f>
        <v/>
      </c>
      <c r="P606" s="15"/>
      <c r="Q606" s="15"/>
      <c r="R606" s="16">
        <f t="shared" si="20"/>
        <v>0</v>
      </c>
      <c r="S606" s="16"/>
      <c r="T606" s="80" t="str">
        <f>IF(S606="","",VLOOKUP(S606,VALORACION!F:G,2,FALSE))</f>
        <v/>
      </c>
      <c r="U606" s="11"/>
      <c r="V606" s="80" t="str">
        <f>IF(U606="","",VLOOKUP(U606,ROLES!G:H,2,FALSE))</f>
        <v/>
      </c>
      <c r="W606" s="11"/>
      <c r="X606" s="80" t="str">
        <f>IF(W606="","",VLOOKUP(W606,ROLES!I:J,2,FALSE))</f>
        <v/>
      </c>
      <c r="Y606" s="95" t="e">
        <f t="shared" si="19"/>
        <v>#VALUE!</v>
      </c>
      <c r="Z606" s="6"/>
      <c r="AA606" s="6"/>
    </row>
    <row r="607" spans="1:27" ht="28.95" customHeight="1" x14ac:dyDescent="0.3">
      <c r="A607" s="91"/>
      <c r="B607" s="91"/>
      <c r="C607" s="80"/>
      <c r="D607" s="91"/>
      <c r="E607" s="80"/>
      <c r="F607" s="6"/>
      <c r="G607" s="6"/>
      <c r="H607" s="25"/>
      <c r="I607" s="133"/>
      <c r="J607" s="6"/>
      <c r="K607" s="6"/>
      <c r="L607" s="6"/>
      <c r="M607" s="6"/>
      <c r="N607" s="84"/>
      <c r="O607" s="80" t="str">
        <f>IF(N607="","",VLOOKUP(N607,ROLES!B:C,2,FALSE))</f>
        <v/>
      </c>
      <c r="P607" s="15"/>
      <c r="Q607" s="15"/>
      <c r="R607" s="16">
        <f t="shared" si="20"/>
        <v>0</v>
      </c>
      <c r="S607" s="16"/>
      <c r="T607" s="80" t="str">
        <f>IF(S607="","",VLOOKUP(S607,VALORACION!F:G,2,FALSE))</f>
        <v/>
      </c>
      <c r="U607" s="11"/>
      <c r="V607" s="80" t="str">
        <f>IF(U607="","",VLOOKUP(U607,ROLES!G:H,2,FALSE))</f>
        <v/>
      </c>
      <c r="W607" s="11"/>
      <c r="X607" s="80" t="str">
        <f>IF(W607="","",VLOOKUP(W607,ROLES!I:J,2,FALSE))</f>
        <v/>
      </c>
      <c r="Y607" s="95" t="e">
        <f t="shared" si="19"/>
        <v>#VALUE!</v>
      </c>
      <c r="Z607" s="6"/>
      <c r="AA607" s="6"/>
    </row>
    <row r="608" spans="1:27" ht="28.95" customHeight="1" x14ac:dyDescent="0.3">
      <c r="A608" s="91"/>
      <c r="B608" s="91"/>
      <c r="C608" s="80"/>
      <c r="D608" s="91"/>
      <c r="E608" s="80"/>
      <c r="F608" s="6"/>
      <c r="G608" s="6"/>
      <c r="H608" s="25"/>
      <c r="I608" s="133"/>
      <c r="J608" s="6"/>
      <c r="K608" s="6"/>
      <c r="L608" s="6"/>
      <c r="M608" s="6"/>
      <c r="N608" s="84"/>
      <c r="O608" s="80" t="str">
        <f>IF(N608="","",VLOOKUP(N608,ROLES!B:C,2,FALSE))</f>
        <v/>
      </c>
      <c r="P608" s="15"/>
      <c r="Q608" s="15"/>
      <c r="R608" s="16">
        <f t="shared" si="20"/>
        <v>0</v>
      </c>
      <c r="S608" s="16"/>
      <c r="T608" s="80" t="str">
        <f>IF(S608="","",VLOOKUP(S608,VALORACION!F:G,2,FALSE))</f>
        <v/>
      </c>
      <c r="U608" s="11"/>
      <c r="V608" s="80" t="str">
        <f>IF(U608="","",VLOOKUP(U608,ROLES!G:H,2,FALSE))</f>
        <v/>
      </c>
      <c r="W608" s="11"/>
      <c r="X608" s="80" t="str">
        <f>IF(W608="","",VLOOKUP(W608,ROLES!I:J,2,FALSE))</f>
        <v/>
      </c>
      <c r="Y608" s="95" t="e">
        <f t="shared" si="19"/>
        <v>#VALUE!</v>
      </c>
      <c r="Z608" s="6"/>
      <c r="AA608" s="6"/>
    </row>
    <row r="609" spans="1:27" ht="28.95" customHeight="1" x14ac:dyDescent="0.3">
      <c r="A609" s="91"/>
      <c r="B609" s="91"/>
      <c r="C609" s="80"/>
      <c r="D609" s="91"/>
      <c r="E609" s="80"/>
      <c r="F609" s="6"/>
      <c r="G609" s="6"/>
      <c r="H609" s="25"/>
      <c r="I609" s="133"/>
      <c r="J609" s="6"/>
      <c r="K609" s="6"/>
      <c r="L609" s="6"/>
      <c r="M609" s="6"/>
      <c r="N609" s="84"/>
      <c r="O609" s="80" t="str">
        <f>IF(N609="","",VLOOKUP(N609,ROLES!B:C,2,FALSE))</f>
        <v/>
      </c>
      <c r="P609" s="15"/>
      <c r="Q609" s="15"/>
      <c r="R609" s="16">
        <f t="shared" si="20"/>
        <v>0</v>
      </c>
      <c r="S609" s="16"/>
      <c r="T609" s="80" t="str">
        <f>IF(S609="","",VLOOKUP(S609,VALORACION!F:G,2,FALSE))</f>
        <v/>
      </c>
      <c r="U609" s="11"/>
      <c r="V609" s="80" t="str">
        <f>IF(U609="","",VLOOKUP(U609,ROLES!G:H,2,FALSE))</f>
        <v/>
      </c>
      <c r="W609" s="11"/>
      <c r="X609" s="80" t="str">
        <f>IF(W609="","",VLOOKUP(W609,ROLES!I:J,2,FALSE))</f>
        <v/>
      </c>
      <c r="Y609" s="95" t="e">
        <f t="shared" si="19"/>
        <v>#VALUE!</v>
      </c>
      <c r="Z609" s="6"/>
      <c r="AA609" s="6"/>
    </row>
    <row r="610" spans="1:27" ht="28.95" customHeight="1" x14ac:dyDescent="0.3">
      <c r="A610" s="91"/>
      <c r="B610" s="91"/>
      <c r="C610" s="80"/>
      <c r="D610" s="91"/>
      <c r="E610" s="80"/>
      <c r="F610" s="6"/>
      <c r="G610" s="6"/>
      <c r="H610" s="25"/>
      <c r="I610" s="133"/>
      <c r="J610" s="6"/>
      <c r="K610" s="6"/>
      <c r="L610" s="6"/>
      <c r="M610" s="6"/>
      <c r="N610" s="84"/>
      <c r="O610" s="80" t="str">
        <f>IF(N610="","",VLOOKUP(N610,ROLES!B:C,2,FALSE))</f>
        <v/>
      </c>
      <c r="P610" s="15"/>
      <c r="Q610" s="15"/>
      <c r="R610" s="16">
        <f t="shared" si="20"/>
        <v>0</v>
      </c>
      <c r="S610" s="16"/>
      <c r="T610" s="80" t="str">
        <f>IF(S610="","",VLOOKUP(S610,VALORACION!F:G,2,FALSE))</f>
        <v/>
      </c>
      <c r="U610" s="11"/>
      <c r="V610" s="80" t="str">
        <f>IF(U610="","",VLOOKUP(U610,ROLES!G:H,2,FALSE))</f>
        <v/>
      </c>
      <c r="W610" s="11"/>
      <c r="X610" s="80" t="str">
        <f>IF(W610="","",VLOOKUP(W610,ROLES!I:J,2,FALSE))</f>
        <v/>
      </c>
      <c r="Y610" s="95" t="e">
        <f t="shared" si="19"/>
        <v>#VALUE!</v>
      </c>
      <c r="Z610" s="6"/>
      <c r="AA610" s="6"/>
    </row>
    <row r="611" spans="1:27" ht="28.95" customHeight="1" x14ac:dyDescent="0.3">
      <c r="A611" s="91"/>
      <c r="B611" s="91"/>
      <c r="C611" s="80"/>
      <c r="D611" s="91"/>
      <c r="E611" s="80"/>
      <c r="F611" s="6"/>
      <c r="G611" s="6"/>
      <c r="H611" s="25"/>
      <c r="I611" s="133"/>
      <c r="J611" s="6"/>
      <c r="K611" s="6"/>
      <c r="L611" s="6"/>
      <c r="M611" s="6"/>
      <c r="N611" s="84"/>
      <c r="O611" s="80" t="str">
        <f>IF(N611="","",VLOOKUP(N611,ROLES!B:C,2,FALSE))</f>
        <v/>
      </c>
      <c r="P611" s="15"/>
      <c r="Q611" s="15"/>
      <c r="R611" s="16">
        <f t="shared" si="20"/>
        <v>0</v>
      </c>
      <c r="S611" s="16"/>
      <c r="T611" s="80" t="str">
        <f>IF(S611="","",VLOOKUP(S611,VALORACION!F:G,2,FALSE))</f>
        <v/>
      </c>
      <c r="U611" s="11"/>
      <c r="V611" s="80" t="str">
        <f>IF(U611="","",VLOOKUP(U611,ROLES!G:H,2,FALSE))</f>
        <v/>
      </c>
      <c r="W611" s="11"/>
      <c r="X611" s="80" t="str">
        <f>IF(W611="","",VLOOKUP(W611,ROLES!I:J,2,FALSE))</f>
        <v/>
      </c>
      <c r="Y611" s="95" t="e">
        <f t="shared" si="19"/>
        <v>#VALUE!</v>
      </c>
      <c r="Z611" s="6"/>
      <c r="AA611" s="6"/>
    </row>
    <row r="612" spans="1:27" ht="28.95" customHeight="1" x14ac:dyDescent="0.3">
      <c r="A612" s="91"/>
      <c r="B612" s="91"/>
      <c r="C612" s="80"/>
      <c r="D612" s="91"/>
      <c r="E612" s="80"/>
      <c r="F612" s="6"/>
      <c r="G612" s="6"/>
      <c r="H612" s="25"/>
      <c r="I612" s="133"/>
      <c r="J612" s="6"/>
      <c r="K612" s="6"/>
      <c r="L612" s="6"/>
      <c r="M612" s="6"/>
      <c r="N612" s="84"/>
      <c r="O612" s="80" t="str">
        <f>IF(N612="","",VLOOKUP(N612,ROLES!B:C,2,FALSE))</f>
        <v/>
      </c>
      <c r="P612" s="15"/>
      <c r="Q612" s="15"/>
      <c r="R612" s="16">
        <f t="shared" si="20"/>
        <v>0</v>
      </c>
      <c r="S612" s="16"/>
      <c r="T612" s="80" t="str">
        <f>IF(S612="","",VLOOKUP(S612,VALORACION!F:G,2,FALSE))</f>
        <v/>
      </c>
      <c r="U612" s="11"/>
      <c r="V612" s="80" t="str">
        <f>IF(U612="","",VLOOKUP(U612,ROLES!G:H,2,FALSE))</f>
        <v/>
      </c>
      <c r="W612" s="11"/>
      <c r="X612" s="80" t="str">
        <f>IF(W612="","",VLOOKUP(W612,ROLES!I:J,2,FALSE))</f>
        <v/>
      </c>
      <c r="Y612" s="95" t="e">
        <f t="shared" si="19"/>
        <v>#VALUE!</v>
      </c>
      <c r="Z612" s="6"/>
      <c r="AA612" s="6"/>
    </row>
    <row r="613" spans="1:27" ht="28.95" customHeight="1" x14ac:dyDescent="0.3">
      <c r="A613" s="91"/>
      <c r="B613" s="91"/>
      <c r="C613" s="80"/>
      <c r="D613" s="91"/>
      <c r="E613" s="80"/>
      <c r="F613" s="6"/>
      <c r="G613" s="6"/>
      <c r="H613" s="25"/>
      <c r="I613" s="133"/>
      <c r="J613" s="6"/>
      <c r="K613" s="6"/>
      <c r="L613" s="6"/>
      <c r="M613" s="6"/>
      <c r="N613" s="84"/>
      <c r="O613" s="80" t="str">
        <f>IF(N613="","",VLOOKUP(N613,ROLES!B:C,2,FALSE))</f>
        <v/>
      </c>
      <c r="P613" s="15"/>
      <c r="Q613" s="15"/>
      <c r="R613" s="16">
        <f t="shared" si="20"/>
        <v>0</v>
      </c>
      <c r="S613" s="16"/>
      <c r="T613" s="80" t="str">
        <f>IF(S613="","",VLOOKUP(S613,VALORACION!F:G,2,FALSE))</f>
        <v/>
      </c>
      <c r="U613" s="11"/>
      <c r="V613" s="80" t="str">
        <f>IF(U613="","",VLOOKUP(U613,ROLES!G:H,2,FALSE))</f>
        <v/>
      </c>
      <c r="W613" s="11"/>
      <c r="X613" s="80" t="str">
        <f>IF(W613="","",VLOOKUP(W613,ROLES!I:J,2,FALSE))</f>
        <v/>
      </c>
      <c r="Y613" s="95" t="e">
        <f t="shared" si="19"/>
        <v>#VALUE!</v>
      </c>
      <c r="Z613" s="6"/>
      <c r="AA613" s="6"/>
    </row>
    <row r="614" spans="1:27" ht="28.95" customHeight="1" x14ac:dyDescent="0.3">
      <c r="A614" s="91"/>
      <c r="B614" s="91"/>
      <c r="C614" s="80"/>
      <c r="D614" s="91"/>
      <c r="E614" s="80"/>
      <c r="F614" s="6"/>
      <c r="G614" s="6"/>
      <c r="H614" s="25"/>
      <c r="I614" s="133"/>
      <c r="J614" s="6"/>
      <c r="K614" s="6"/>
      <c r="L614" s="6"/>
      <c r="M614" s="6"/>
      <c r="N614" s="84"/>
      <c r="O614" s="80" t="str">
        <f>IF(N614="","",VLOOKUP(N614,ROLES!B:C,2,FALSE))</f>
        <v/>
      </c>
      <c r="P614" s="15"/>
      <c r="Q614" s="15"/>
      <c r="R614" s="16">
        <f t="shared" si="20"/>
        <v>0</v>
      </c>
      <c r="S614" s="16"/>
      <c r="T614" s="80" t="str">
        <f>IF(S614="","",VLOOKUP(S614,VALORACION!F:G,2,FALSE))</f>
        <v/>
      </c>
      <c r="U614" s="11"/>
      <c r="V614" s="80" t="str">
        <f>IF(U614="","",VLOOKUP(U614,ROLES!G:H,2,FALSE))</f>
        <v/>
      </c>
      <c r="W614" s="11"/>
      <c r="X614" s="80" t="str">
        <f>IF(W614="","",VLOOKUP(W614,ROLES!I:J,2,FALSE))</f>
        <v/>
      </c>
      <c r="Y614" s="95" t="e">
        <f t="shared" si="19"/>
        <v>#VALUE!</v>
      </c>
      <c r="Z614" s="6"/>
      <c r="AA614" s="6"/>
    </row>
    <row r="615" spans="1:27" ht="28.95" customHeight="1" x14ac:dyDescent="0.3">
      <c r="A615" s="91"/>
      <c r="B615" s="91"/>
      <c r="C615" s="80"/>
      <c r="D615" s="91"/>
      <c r="E615" s="80"/>
      <c r="F615" s="6"/>
      <c r="G615" s="6"/>
      <c r="H615" s="25"/>
      <c r="I615" s="133"/>
      <c r="J615" s="6"/>
      <c r="K615" s="6"/>
      <c r="L615" s="6"/>
      <c r="M615" s="6"/>
      <c r="N615" s="84"/>
      <c r="O615" s="80" t="str">
        <f>IF(N615="","",VLOOKUP(N615,ROLES!B:C,2,FALSE))</f>
        <v/>
      </c>
      <c r="P615" s="15"/>
      <c r="Q615" s="15"/>
      <c r="R615" s="16">
        <f t="shared" si="20"/>
        <v>0</v>
      </c>
      <c r="S615" s="16"/>
      <c r="T615" s="80" t="str">
        <f>IF(S615="","",VLOOKUP(S615,VALORACION!F:G,2,FALSE))</f>
        <v/>
      </c>
      <c r="U615" s="11"/>
      <c r="V615" s="80" t="str">
        <f>IF(U615="","",VLOOKUP(U615,ROLES!G:H,2,FALSE))</f>
        <v/>
      </c>
      <c r="W615" s="11"/>
      <c r="X615" s="80" t="str">
        <f>IF(W615="","",VLOOKUP(W615,ROLES!I:J,2,FALSE))</f>
        <v/>
      </c>
      <c r="Y615" s="95" t="e">
        <f t="shared" si="19"/>
        <v>#VALUE!</v>
      </c>
      <c r="Z615" s="6"/>
      <c r="AA615" s="6"/>
    </row>
    <row r="616" spans="1:27" ht="28.95" customHeight="1" x14ac:dyDescent="0.3">
      <c r="A616" s="91"/>
      <c r="B616" s="91"/>
      <c r="C616" s="80"/>
      <c r="D616" s="91"/>
      <c r="E616" s="80"/>
      <c r="F616" s="6"/>
      <c r="G616" s="6"/>
      <c r="H616" s="25"/>
      <c r="I616" s="133"/>
      <c r="J616" s="6"/>
      <c r="K616" s="6"/>
      <c r="L616" s="6"/>
      <c r="M616" s="6"/>
      <c r="N616" s="84"/>
      <c r="O616" s="80" t="str">
        <f>IF(N616="","",VLOOKUP(N616,ROLES!B:C,2,FALSE))</f>
        <v/>
      </c>
      <c r="P616" s="15"/>
      <c r="Q616" s="15"/>
      <c r="R616" s="16">
        <f t="shared" si="20"/>
        <v>0</v>
      </c>
      <c r="S616" s="16"/>
      <c r="T616" s="80" t="str">
        <f>IF(S616="","",VLOOKUP(S616,VALORACION!F:G,2,FALSE))</f>
        <v/>
      </c>
      <c r="U616" s="11"/>
      <c r="V616" s="80" t="str">
        <f>IF(U616="","",VLOOKUP(U616,ROLES!G:H,2,FALSE))</f>
        <v/>
      </c>
      <c r="W616" s="11"/>
      <c r="X616" s="80" t="str">
        <f>IF(W616="","",VLOOKUP(W616,ROLES!I:J,2,FALSE))</f>
        <v/>
      </c>
      <c r="Y616" s="95" t="e">
        <f t="shared" si="19"/>
        <v>#VALUE!</v>
      </c>
      <c r="Z616" s="6"/>
      <c r="AA616" s="6"/>
    </row>
    <row r="617" spans="1:27" ht="28.95" customHeight="1" x14ac:dyDescent="0.3">
      <c r="A617" s="91"/>
      <c r="B617" s="91"/>
      <c r="C617" s="80"/>
      <c r="D617" s="91"/>
      <c r="E617" s="80"/>
      <c r="F617" s="6"/>
      <c r="G617" s="6"/>
      <c r="H617" s="25"/>
      <c r="I617" s="133"/>
      <c r="J617" s="6"/>
      <c r="K617" s="6"/>
      <c r="L617" s="6"/>
      <c r="M617" s="6"/>
      <c r="N617" s="84"/>
      <c r="O617" s="80" t="str">
        <f>IF(N617="","",VLOOKUP(N617,ROLES!B:C,2,FALSE))</f>
        <v/>
      </c>
      <c r="P617" s="15"/>
      <c r="Q617" s="15"/>
      <c r="R617" s="16">
        <f t="shared" si="20"/>
        <v>0</v>
      </c>
      <c r="S617" s="16"/>
      <c r="T617" s="80" t="str">
        <f>IF(S617="","",VLOOKUP(S617,VALORACION!F:G,2,FALSE))</f>
        <v/>
      </c>
      <c r="U617" s="11"/>
      <c r="V617" s="80" t="str">
        <f>IF(U617="","",VLOOKUP(U617,ROLES!G:H,2,FALSE))</f>
        <v/>
      </c>
      <c r="W617" s="11"/>
      <c r="X617" s="80" t="str">
        <f>IF(W617="","",VLOOKUP(W617,ROLES!I:J,2,FALSE))</f>
        <v/>
      </c>
      <c r="Y617" s="95" t="e">
        <f t="shared" si="19"/>
        <v>#VALUE!</v>
      </c>
      <c r="Z617" s="6"/>
      <c r="AA617" s="6"/>
    </row>
    <row r="618" spans="1:27" ht="28.95" customHeight="1" x14ac:dyDescent="0.3">
      <c r="A618" s="91"/>
      <c r="B618" s="91"/>
      <c r="C618" s="80"/>
      <c r="D618" s="91"/>
      <c r="E618" s="80"/>
      <c r="F618" s="6"/>
      <c r="G618" s="6"/>
      <c r="H618" s="25"/>
      <c r="I618" s="133"/>
      <c r="J618" s="6"/>
      <c r="K618" s="6"/>
      <c r="L618" s="6"/>
      <c r="M618" s="6"/>
      <c r="N618" s="84"/>
      <c r="O618" s="80" t="str">
        <f>IF(N618="","",VLOOKUP(N618,ROLES!B:C,2,FALSE))</f>
        <v/>
      </c>
      <c r="P618" s="15"/>
      <c r="Q618" s="15"/>
      <c r="R618" s="16">
        <f t="shared" si="20"/>
        <v>0</v>
      </c>
      <c r="S618" s="16"/>
      <c r="T618" s="80" t="str">
        <f>IF(S618="","",VLOOKUP(S618,VALORACION!F:G,2,FALSE))</f>
        <v/>
      </c>
      <c r="U618" s="11"/>
      <c r="V618" s="80" t="str">
        <f>IF(U618="","",VLOOKUP(U618,ROLES!G:H,2,FALSE))</f>
        <v/>
      </c>
      <c r="W618" s="11"/>
      <c r="X618" s="80" t="str">
        <f>IF(W618="","",VLOOKUP(W618,ROLES!I:J,2,FALSE))</f>
        <v/>
      </c>
      <c r="Y618" s="95" t="e">
        <f t="shared" si="19"/>
        <v>#VALUE!</v>
      </c>
      <c r="Z618" s="6"/>
      <c r="AA618" s="6"/>
    </row>
    <row r="619" spans="1:27" ht="28.95" customHeight="1" x14ac:dyDescent="0.3">
      <c r="A619" s="91"/>
      <c r="B619" s="91"/>
      <c r="C619" s="80"/>
      <c r="D619" s="91"/>
      <c r="E619" s="80"/>
      <c r="F619" s="6"/>
      <c r="G619" s="6"/>
      <c r="H619" s="25"/>
      <c r="I619" s="133"/>
      <c r="J619" s="6"/>
      <c r="K619" s="6"/>
      <c r="L619" s="6"/>
      <c r="M619" s="6"/>
      <c r="N619" s="84"/>
      <c r="O619" s="80" t="str">
        <f>IF(N619="","",VLOOKUP(N619,ROLES!B:C,2,FALSE))</f>
        <v/>
      </c>
      <c r="P619" s="15"/>
      <c r="Q619" s="15"/>
      <c r="R619" s="16">
        <f t="shared" si="20"/>
        <v>0</v>
      </c>
      <c r="S619" s="16"/>
      <c r="T619" s="80" t="str">
        <f>IF(S619="","",VLOOKUP(S619,VALORACION!F:G,2,FALSE))</f>
        <v/>
      </c>
      <c r="U619" s="11"/>
      <c r="V619" s="80" t="str">
        <f>IF(U619="","",VLOOKUP(U619,ROLES!G:H,2,FALSE))</f>
        <v/>
      </c>
      <c r="W619" s="11"/>
      <c r="X619" s="80" t="str">
        <f>IF(W619="","",VLOOKUP(W619,ROLES!I:J,2,FALSE))</f>
        <v/>
      </c>
      <c r="Y619" s="95" t="e">
        <f t="shared" si="19"/>
        <v>#VALUE!</v>
      </c>
      <c r="Z619" s="6"/>
      <c r="AA619" s="6"/>
    </row>
    <row r="620" spans="1:27" ht="28.95" customHeight="1" x14ac:dyDescent="0.3">
      <c r="A620" s="91"/>
      <c r="B620" s="91"/>
      <c r="C620" s="80"/>
      <c r="D620" s="91"/>
      <c r="E620" s="80"/>
      <c r="F620" s="6"/>
      <c r="G620" s="6"/>
      <c r="H620" s="25"/>
      <c r="I620" s="133"/>
      <c r="J620" s="6"/>
      <c r="K620" s="6"/>
      <c r="L620" s="6"/>
      <c r="M620" s="6"/>
      <c r="N620" s="84"/>
      <c r="O620" s="80" t="str">
        <f>IF(N620="","",VLOOKUP(N620,ROLES!B:C,2,FALSE))</f>
        <v/>
      </c>
      <c r="P620" s="15"/>
      <c r="Q620" s="15"/>
      <c r="R620" s="16">
        <f t="shared" si="20"/>
        <v>0</v>
      </c>
      <c r="S620" s="16"/>
      <c r="T620" s="80" t="str">
        <f>IF(S620="","",VLOOKUP(S620,VALORACION!F:G,2,FALSE))</f>
        <v/>
      </c>
      <c r="U620" s="11"/>
      <c r="V620" s="80" t="str">
        <f>IF(U620="","",VLOOKUP(U620,ROLES!G:H,2,FALSE))</f>
        <v/>
      </c>
      <c r="W620" s="11"/>
      <c r="X620" s="80" t="str">
        <f>IF(W620="","",VLOOKUP(W620,ROLES!I:J,2,FALSE))</f>
        <v/>
      </c>
      <c r="Y620" s="95" t="e">
        <f t="shared" si="19"/>
        <v>#VALUE!</v>
      </c>
      <c r="Z620" s="6"/>
      <c r="AA620" s="6"/>
    </row>
    <row r="621" spans="1:27" ht="28.95" customHeight="1" x14ac:dyDescent="0.3">
      <c r="A621" s="91"/>
      <c r="B621" s="91"/>
      <c r="C621" s="80"/>
      <c r="D621" s="91"/>
      <c r="E621" s="80"/>
      <c r="F621" s="6"/>
      <c r="G621" s="6"/>
      <c r="H621" s="25"/>
      <c r="I621" s="133"/>
      <c r="J621" s="6"/>
      <c r="K621" s="6"/>
      <c r="L621" s="6"/>
      <c r="M621" s="6"/>
      <c r="N621" s="84"/>
      <c r="O621" s="80" t="str">
        <f>IF(N621="","",VLOOKUP(N621,ROLES!B:C,2,FALSE))</f>
        <v/>
      </c>
      <c r="P621" s="15"/>
      <c r="Q621" s="15"/>
      <c r="R621" s="16">
        <f t="shared" si="20"/>
        <v>0</v>
      </c>
      <c r="S621" s="16"/>
      <c r="T621" s="80" t="str">
        <f>IF(S621="","",VLOOKUP(S621,VALORACION!F:G,2,FALSE))</f>
        <v/>
      </c>
      <c r="U621" s="11"/>
      <c r="V621" s="80" t="str">
        <f>IF(U621="","",VLOOKUP(U621,ROLES!G:H,2,FALSE))</f>
        <v/>
      </c>
      <c r="W621" s="11"/>
      <c r="X621" s="80" t="str">
        <f>IF(W621="","",VLOOKUP(W621,ROLES!I:J,2,FALSE))</f>
        <v/>
      </c>
      <c r="Y621" s="95" t="e">
        <f t="shared" si="19"/>
        <v>#VALUE!</v>
      </c>
      <c r="Z621" s="6"/>
      <c r="AA621" s="6"/>
    </row>
    <row r="622" spans="1:27" ht="28.95" customHeight="1" x14ac:dyDescent="0.3">
      <c r="A622" s="91"/>
      <c r="B622" s="91"/>
      <c r="C622" s="80"/>
      <c r="D622" s="91"/>
      <c r="E622" s="80"/>
      <c r="F622" s="6"/>
      <c r="G622" s="6"/>
      <c r="H622" s="25"/>
      <c r="I622" s="133"/>
      <c r="J622" s="6"/>
      <c r="K622" s="6"/>
      <c r="L622" s="6"/>
      <c r="M622" s="6"/>
      <c r="N622" s="84"/>
      <c r="O622" s="80" t="str">
        <f>IF(N622="","",VLOOKUP(N622,ROLES!B:C,2,FALSE))</f>
        <v/>
      </c>
      <c r="P622" s="15"/>
      <c r="Q622" s="15"/>
      <c r="R622" s="16">
        <f t="shared" si="20"/>
        <v>0</v>
      </c>
      <c r="S622" s="16"/>
      <c r="T622" s="80" t="str">
        <f>IF(S622="","",VLOOKUP(S622,VALORACION!F:G,2,FALSE))</f>
        <v/>
      </c>
      <c r="U622" s="11"/>
      <c r="V622" s="80" t="str">
        <f>IF(U622="","",VLOOKUP(U622,ROLES!G:H,2,FALSE))</f>
        <v/>
      </c>
      <c r="W622" s="11"/>
      <c r="X622" s="80" t="str">
        <f>IF(W622="","",VLOOKUP(W622,ROLES!I:J,2,FALSE))</f>
        <v/>
      </c>
      <c r="Y622" s="95" t="e">
        <f t="shared" si="19"/>
        <v>#VALUE!</v>
      </c>
      <c r="Z622" s="6"/>
      <c r="AA622" s="6"/>
    </row>
    <row r="623" spans="1:27" ht="28.95" customHeight="1" x14ac:dyDescent="0.3">
      <c r="A623" s="91"/>
      <c r="B623" s="91"/>
      <c r="C623" s="80"/>
      <c r="D623" s="91"/>
      <c r="E623" s="80"/>
      <c r="F623" s="6"/>
      <c r="G623" s="6"/>
      <c r="H623" s="25"/>
      <c r="I623" s="133"/>
      <c r="J623" s="6"/>
      <c r="K623" s="6"/>
      <c r="L623" s="6"/>
      <c r="M623" s="6"/>
      <c r="N623" s="84"/>
      <c r="O623" s="80" t="str">
        <f>IF(N623="","",VLOOKUP(N623,ROLES!B:C,2,FALSE))</f>
        <v/>
      </c>
      <c r="P623" s="15"/>
      <c r="Q623" s="15"/>
      <c r="R623" s="16">
        <f t="shared" si="20"/>
        <v>0</v>
      </c>
      <c r="S623" s="16"/>
      <c r="T623" s="80" t="str">
        <f>IF(S623="","",VLOOKUP(S623,VALORACION!F:G,2,FALSE))</f>
        <v/>
      </c>
      <c r="U623" s="11"/>
      <c r="V623" s="80" t="str">
        <f>IF(U623="","",VLOOKUP(U623,ROLES!G:H,2,FALSE))</f>
        <v/>
      </c>
      <c r="W623" s="11"/>
      <c r="X623" s="80" t="str">
        <f>IF(W623="","",VLOOKUP(W623,ROLES!I:J,2,FALSE))</f>
        <v/>
      </c>
      <c r="Y623" s="95" t="e">
        <f t="shared" si="19"/>
        <v>#VALUE!</v>
      </c>
      <c r="Z623" s="6"/>
      <c r="AA623" s="6"/>
    </row>
    <row r="624" spans="1:27" ht="28.95" customHeight="1" x14ac:dyDescent="0.3">
      <c r="A624" s="91"/>
      <c r="B624" s="91"/>
      <c r="C624" s="80"/>
      <c r="D624" s="91"/>
      <c r="E624" s="80"/>
      <c r="F624" s="6"/>
      <c r="G624" s="6"/>
      <c r="H624" s="25"/>
      <c r="I624" s="133"/>
      <c r="J624" s="6"/>
      <c r="K624" s="6"/>
      <c r="L624" s="6"/>
      <c r="M624" s="6"/>
      <c r="N624" s="84"/>
      <c r="O624" s="80" t="str">
        <f>IF(N624="","",VLOOKUP(N624,ROLES!B:C,2,FALSE))</f>
        <v/>
      </c>
      <c r="P624" s="15"/>
      <c r="Q624" s="15"/>
      <c r="R624" s="16">
        <f t="shared" si="20"/>
        <v>0</v>
      </c>
      <c r="S624" s="16"/>
      <c r="T624" s="80" t="str">
        <f>IF(S624="","",VLOOKUP(S624,VALORACION!F:G,2,FALSE))</f>
        <v/>
      </c>
      <c r="U624" s="11"/>
      <c r="V624" s="80" t="str">
        <f>IF(U624="","",VLOOKUP(U624,ROLES!G:H,2,FALSE))</f>
        <v/>
      </c>
      <c r="W624" s="11"/>
      <c r="X624" s="80" t="str">
        <f>IF(W624="","",VLOOKUP(W624,ROLES!I:J,2,FALSE))</f>
        <v/>
      </c>
      <c r="Y624" s="95" t="e">
        <f t="shared" si="19"/>
        <v>#VALUE!</v>
      </c>
      <c r="Z624" s="6"/>
      <c r="AA624" s="6"/>
    </row>
    <row r="625" spans="1:27" ht="28.95" customHeight="1" x14ac:dyDescent="0.3">
      <c r="A625" s="91"/>
      <c r="B625" s="91"/>
      <c r="C625" s="80"/>
      <c r="D625" s="91"/>
      <c r="E625" s="80"/>
      <c r="F625" s="6"/>
      <c r="G625" s="6"/>
      <c r="H625" s="25"/>
      <c r="I625" s="133"/>
      <c r="J625" s="6"/>
      <c r="K625" s="6"/>
      <c r="L625" s="6"/>
      <c r="M625" s="6"/>
      <c r="N625" s="84"/>
      <c r="O625" s="80" t="str">
        <f>IF(N625="","",VLOOKUP(N625,ROLES!B:C,2,FALSE))</f>
        <v/>
      </c>
      <c r="P625" s="15"/>
      <c r="Q625" s="15"/>
      <c r="R625" s="16">
        <f t="shared" si="20"/>
        <v>0</v>
      </c>
      <c r="S625" s="16"/>
      <c r="T625" s="80" t="str">
        <f>IF(S625="","",VLOOKUP(S625,VALORACION!F:G,2,FALSE))</f>
        <v/>
      </c>
      <c r="U625" s="11"/>
      <c r="V625" s="80" t="str">
        <f>IF(U625="","",VLOOKUP(U625,ROLES!G:H,2,FALSE))</f>
        <v/>
      </c>
      <c r="W625" s="11"/>
      <c r="X625" s="80" t="str">
        <f>IF(W625="","",VLOOKUP(W625,ROLES!I:J,2,FALSE))</f>
        <v/>
      </c>
      <c r="Y625" s="95" t="e">
        <f t="shared" si="19"/>
        <v>#VALUE!</v>
      </c>
      <c r="Z625" s="6"/>
      <c r="AA625" s="6"/>
    </row>
    <row r="626" spans="1:27" ht="28.95" customHeight="1" x14ac:dyDescent="0.3">
      <c r="A626" s="91"/>
      <c r="B626" s="91"/>
      <c r="C626" s="80"/>
      <c r="D626" s="91"/>
      <c r="E626" s="80"/>
      <c r="F626" s="6"/>
      <c r="G626" s="6"/>
      <c r="H626" s="25"/>
      <c r="I626" s="133"/>
      <c r="J626" s="6"/>
      <c r="K626" s="6"/>
      <c r="L626" s="6"/>
      <c r="M626" s="6"/>
      <c r="N626" s="84"/>
      <c r="O626" s="80" t="str">
        <f>IF(N626="","",VLOOKUP(N626,ROLES!B:C,2,FALSE))</f>
        <v/>
      </c>
      <c r="P626" s="15"/>
      <c r="Q626" s="15"/>
      <c r="R626" s="16">
        <f t="shared" si="20"/>
        <v>0</v>
      </c>
      <c r="S626" s="16"/>
      <c r="T626" s="80" t="str">
        <f>IF(S626="","",VLOOKUP(S626,VALORACION!F:G,2,FALSE))</f>
        <v/>
      </c>
      <c r="U626" s="11"/>
      <c r="V626" s="80" t="str">
        <f>IF(U626="","",VLOOKUP(U626,ROLES!G:H,2,FALSE))</f>
        <v/>
      </c>
      <c r="W626" s="11"/>
      <c r="X626" s="80" t="str">
        <f>IF(W626="","",VLOOKUP(W626,ROLES!I:J,2,FALSE))</f>
        <v/>
      </c>
      <c r="Y626" s="95" t="e">
        <f t="shared" si="19"/>
        <v>#VALUE!</v>
      </c>
      <c r="Z626" s="6"/>
      <c r="AA626" s="6"/>
    </row>
    <row r="627" spans="1:27" ht="28.95" customHeight="1" x14ac:dyDescent="0.3">
      <c r="A627" s="91"/>
      <c r="B627" s="91"/>
      <c r="C627" s="80"/>
      <c r="D627" s="91"/>
      <c r="E627" s="80"/>
      <c r="F627" s="6"/>
      <c r="G627" s="6"/>
      <c r="H627" s="25"/>
      <c r="I627" s="133"/>
      <c r="J627" s="6"/>
      <c r="K627" s="6"/>
      <c r="L627" s="6"/>
      <c r="M627" s="6"/>
      <c r="N627" s="84"/>
      <c r="O627" s="80" t="str">
        <f>IF(N627="","",VLOOKUP(N627,ROLES!B:C,2,FALSE))</f>
        <v/>
      </c>
      <c r="P627" s="15"/>
      <c r="Q627" s="15"/>
      <c r="R627" s="16">
        <f t="shared" si="20"/>
        <v>0</v>
      </c>
      <c r="S627" s="16"/>
      <c r="T627" s="80" t="str">
        <f>IF(S627="","",VLOOKUP(S627,VALORACION!F:G,2,FALSE))</f>
        <v/>
      </c>
      <c r="U627" s="11"/>
      <c r="V627" s="80" t="str">
        <f>IF(U627="","",VLOOKUP(U627,ROLES!G:H,2,FALSE))</f>
        <v/>
      </c>
      <c r="W627" s="11"/>
      <c r="X627" s="80" t="str">
        <f>IF(W627="","",VLOOKUP(W627,ROLES!I:J,2,FALSE))</f>
        <v/>
      </c>
      <c r="Y627" s="95" t="e">
        <f t="shared" si="19"/>
        <v>#VALUE!</v>
      </c>
      <c r="Z627" s="6"/>
      <c r="AA627" s="6"/>
    </row>
    <row r="628" spans="1:27" ht="28.95" customHeight="1" x14ac:dyDescent="0.3">
      <c r="A628" s="91"/>
      <c r="B628" s="91"/>
      <c r="C628" s="80"/>
      <c r="D628" s="91"/>
      <c r="E628" s="80"/>
      <c r="F628" s="6"/>
      <c r="G628" s="6"/>
      <c r="H628" s="25"/>
      <c r="I628" s="133"/>
      <c r="J628" s="6"/>
      <c r="K628" s="6"/>
      <c r="L628" s="6"/>
      <c r="M628" s="6"/>
      <c r="N628" s="84"/>
      <c r="O628" s="80" t="str">
        <f>IF(N628="","",VLOOKUP(N628,ROLES!B:C,2,FALSE))</f>
        <v/>
      </c>
      <c r="P628" s="15"/>
      <c r="Q628" s="15"/>
      <c r="R628" s="16">
        <f t="shared" si="20"/>
        <v>0</v>
      </c>
      <c r="S628" s="16"/>
      <c r="T628" s="80" t="str">
        <f>IF(S628="","",VLOOKUP(S628,VALORACION!F:G,2,FALSE))</f>
        <v/>
      </c>
      <c r="U628" s="11"/>
      <c r="V628" s="80" t="str">
        <f>IF(U628="","",VLOOKUP(U628,ROLES!G:H,2,FALSE))</f>
        <v/>
      </c>
      <c r="W628" s="11"/>
      <c r="X628" s="80" t="str">
        <f>IF(W628="","",VLOOKUP(W628,ROLES!I:J,2,FALSE))</f>
        <v/>
      </c>
      <c r="Y628" s="95" t="e">
        <f t="shared" si="19"/>
        <v>#VALUE!</v>
      </c>
      <c r="Z628" s="6"/>
      <c r="AA628" s="6"/>
    </row>
    <row r="629" spans="1:27" ht="28.95" customHeight="1" x14ac:dyDescent="0.3">
      <c r="A629" s="91"/>
      <c r="B629" s="91"/>
      <c r="C629" s="80"/>
      <c r="D629" s="91"/>
      <c r="E629" s="80"/>
      <c r="F629" s="6"/>
      <c r="G629" s="6"/>
      <c r="H629" s="25"/>
      <c r="I629" s="133"/>
      <c r="J629" s="6"/>
      <c r="K629" s="6"/>
      <c r="L629" s="6"/>
      <c r="M629" s="6"/>
      <c r="N629" s="84"/>
      <c r="O629" s="80" t="str">
        <f>IF(N629="","",VLOOKUP(N629,ROLES!B:C,2,FALSE))</f>
        <v/>
      </c>
      <c r="P629" s="15"/>
      <c r="Q629" s="15"/>
      <c r="R629" s="16">
        <f t="shared" si="20"/>
        <v>0</v>
      </c>
      <c r="S629" s="16"/>
      <c r="T629" s="80" t="str">
        <f>IF(S629="","",VLOOKUP(S629,VALORACION!F:G,2,FALSE))</f>
        <v/>
      </c>
      <c r="U629" s="11"/>
      <c r="V629" s="80" t="str">
        <f>IF(U629="","",VLOOKUP(U629,ROLES!G:H,2,FALSE))</f>
        <v/>
      </c>
      <c r="W629" s="11"/>
      <c r="X629" s="80" t="str">
        <f>IF(W629="","",VLOOKUP(W629,ROLES!I:J,2,FALSE))</f>
        <v/>
      </c>
      <c r="Y629" s="95" t="e">
        <f t="shared" si="19"/>
        <v>#VALUE!</v>
      </c>
      <c r="Z629" s="6"/>
      <c r="AA629" s="6"/>
    </row>
    <row r="630" spans="1:27" ht="28.95" customHeight="1" x14ac:dyDescent="0.3">
      <c r="A630" s="91"/>
      <c r="B630" s="91"/>
      <c r="C630" s="80"/>
      <c r="D630" s="91"/>
      <c r="E630" s="80"/>
      <c r="F630" s="6"/>
      <c r="G630" s="6"/>
      <c r="H630" s="25"/>
      <c r="I630" s="133"/>
      <c r="J630" s="6"/>
      <c r="K630" s="6"/>
      <c r="L630" s="6"/>
      <c r="M630" s="6"/>
      <c r="N630" s="84"/>
      <c r="O630" s="80" t="str">
        <f>IF(N630="","",VLOOKUP(N630,ROLES!B:C,2,FALSE))</f>
        <v/>
      </c>
      <c r="P630" s="15"/>
      <c r="Q630" s="15"/>
      <c r="R630" s="16">
        <f t="shared" si="20"/>
        <v>0</v>
      </c>
      <c r="S630" s="16"/>
      <c r="T630" s="80" t="str">
        <f>IF(S630="","",VLOOKUP(S630,VALORACION!F:G,2,FALSE))</f>
        <v/>
      </c>
      <c r="U630" s="11"/>
      <c r="V630" s="80" t="str">
        <f>IF(U630="","",VLOOKUP(U630,ROLES!G:H,2,FALSE))</f>
        <v/>
      </c>
      <c r="W630" s="11"/>
      <c r="X630" s="80" t="str">
        <f>IF(W630="","",VLOOKUP(W630,ROLES!I:J,2,FALSE))</f>
        <v/>
      </c>
      <c r="Y630" s="95" t="e">
        <f t="shared" si="19"/>
        <v>#VALUE!</v>
      </c>
      <c r="Z630" s="6"/>
      <c r="AA630" s="6"/>
    </row>
    <row r="631" spans="1:27" ht="28.95" customHeight="1" x14ac:dyDescent="0.3">
      <c r="A631" s="91"/>
      <c r="B631" s="91"/>
      <c r="C631" s="80"/>
      <c r="D631" s="91"/>
      <c r="E631" s="80"/>
      <c r="F631" s="6"/>
      <c r="G631" s="6"/>
      <c r="H631" s="25"/>
      <c r="I631" s="133"/>
      <c r="J631" s="6"/>
      <c r="K631" s="6"/>
      <c r="L631" s="6"/>
      <c r="M631" s="6"/>
      <c r="N631" s="84"/>
      <c r="O631" s="80" t="str">
        <f>IF(N631="","",VLOOKUP(N631,ROLES!B:C,2,FALSE))</f>
        <v/>
      </c>
      <c r="P631" s="15"/>
      <c r="Q631" s="15"/>
      <c r="R631" s="16">
        <f t="shared" si="20"/>
        <v>0</v>
      </c>
      <c r="S631" s="16"/>
      <c r="T631" s="80" t="str">
        <f>IF(S631="","",VLOOKUP(S631,VALORACION!F:G,2,FALSE))</f>
        <v/>
      </c>
      <c r="U631" s="11"/>
      <c r="V631" s="80" t="str">
        <f>IF(U631="","",VLOOKUP(U631,ROLES!G:H,2,FALSE))</f>
        <v/>
      </c>
      <c r="W631" s="11"/>
      <c r="X631" s="80" t="str">
        <f>IF(W631="","",VLOOKUP(W631,ROLES!I:J,2,FALSE))</f>
        <v/>
      </c>
      <c r="Y631" s="95" t="e">
        <f t="shared" si="19"/>
        <v>#VALUE!</v>
      </c>
      <c r="Z631" s="6"/>
      <c r="AA631" s="6"/>
    </row>
    <row r="632" spans="1:27" ht="28.95" customHeight="1" x14ac:dyDescent="0.3">
      <c r="A632" s="91"/>
      <c r="B632" s="91"/>
      <c r="C632" s="80"/>
      <c r="D632" s="91"/>
      <c r="E632" s="80"/>
      <c r="F632" s="6"/>
      <c r="G632" s="6"/>
      <c r="H632" s="25"/>
      <c r="I632" s="133"/>
      <c r="J632" s="6"/>
      <c r="K632" s="6"/>
      <c r="L632" s="6"/>
      <c r="M632" s="6"/>
      <c r="N632" s="84"/>
      <c r="O632" s="80" t="str">
        <f>IF(N632="","",VLOOKUP(N632,ROLES!B:C,2,FALSE))</f>
        <v/>
      </c>
      <c r="P632" s="15"/>
      <c r="Q632" s="15"/>
      <c r="R632" s="16">
        <f t="shared" si="20"/>
        <v>0</v>
      </c>
      <c r="S632" s="16"/>
      <c r="T632" s="80" t="str">
        <f>IF(S632="","",VLOOKUP(S632,VALORACION!F:G,2,FALSE))</f>
        <v/>
      </c>
      <c r="U632" s="11"/>
      <c r="V632" s="80" t="str">
        <f>IF(U632="","",VLOOKUP(U632,ROLES!G:H,2,FALSE))</f>
        <v/>
      </c>
      <c r="W632" s="11"/>
      <c r="X632" s="80" t="str">
        <f>IF(W632="","",VLOOKUP(W632,ROLES!I:J,2,FALSE))</f>
        <v/>
      </c>
      <c r="Y632" s="95" t="e">
        <f t="shared" si="19"/>
        <v>#VALUE!</v>
      </c>
      <c r="Z632" s="6"/>
      <c r="AA632" s="6"/>
    </row>
    <row r="633" spans="1:27" ht="28.95" customHeight="1" x14ac:dyDescent="0.3">
      <c r="A633" s="91"/>
      <c r="B633" s="91"/>
      <c r="C633" s="80"/>
      <c r="D633" s="91"/>
      <c r="E633" s="80"/>
      <c r="F633" s="6"/>
      <c r="G633" s="6"/>
      <c r="H633" s="25"/>
      <c r="I633" s="133"/>
      <c r="J633" s="6"/>
      <c r="K633" s="6"/>
      <c r="L633" s="6"/>
      <c r="M633" s="6"/>
      <c r="N633" s="84"/>
      <c r="O633" s="80" t="str">
        <f>IF(N633="","",VLOOKUP(N633,ROLES!B:C,2,FALSE))</f>
        <v/>
      </c>
      <c r="P633" s="15"/>
      <c r="Q633" s="15"/>
      <c r="R633" s="16">
        <f t="shared" si="20"/>
        <v>0</v>
      </c>
      <c r="S633" s="16"/>
      <c r="T633" s="80" t="str">
        <f>IF(S633="","",VLOOKUP(S633,VALORACION!F:G,2,FALSE))</f>
        <v/>
      </c>
      <c r="U633" s="11"/>
      <c r="V633" s="80" t="str">
        <f>IF(U633="","",VLOOKUP(U633,ROLES!G:H,2,FALSE))</f>
        <v/>
      </c>
      <c r="W633" s="11"/>
      <c r="X633" s="80" t="str">
        <f>IF(W633="","",VLOOKUP(W633,ROLES!I:J,2,FALSE))</f>
        <v/>
      </c>
      <c r="Y633" s="95" t="e">
        <f t="shared" si="19"/>
        <v>#VALUE!</v>
      </c>
      <c r="Z633" s="6"/>
      <c r="AA633" s="6"/>
    </row>
    <row r="634" spans="1:27" ht="28.95" customHeight="1" x14ac:dyDescent="0.3">
      <c r="A634" s="91"/>
      <c r="B634" s="91"/>
      <c r="C634" s="80"/>
      <c r="D634" s="91"/>
      <c r="E634" s="80"/>
      <c r="F634" s="6"/>
      <c r="G634" s="6"/>
      <c r="H634" s="25"/>
      <c r="I634" s="133"/>
      <c r="J634" s="6"/>
      <c r="K634" s="6"/>
      <c r="L634" s="6"/>
      <c r="M634" s="6"/>
      <c r="N634" s="84"/>
      <c r="O634" s="80" t="str">
        <f>IF(N634="","",VLOOKUP(N634,ROLES!B:C,2,FALSE))</f>
        <v/>
      </c>
      <c r="P634" s="15"/>
      <c r="Q634" s="15"/>
      <c r="R634" s="16">
        <f t="shared" si="20"/>
        <v>0</v>
      </c>
      <c r="S634" s="16"/>
      <c r="T634" s="80" t="str">
        <f>IF(S634="","",VLOOKUP(S634,VALORACION!F:G,2,FALSE))</f>
        <v/>
      </c>
      <c r="U634" s="11"/>
      <c r="V634" s="80" t="str">
        <f>IF(U634="","",VLOOKUP(U634,ROLES!G:H,2,FALSE))</f>
        <v/>
      </c>
      <c r="W634" s="11"/>
      <c r="X634" s="80" t="str">
        <f>IF(W634="","",VLOOKUP(W634,ROLES!I:J,2,FALSE))</f>
        <v/>
      </c>
      <c r="Y634" s="95" t="e">
        <f t="shared" si="19"/>
        <v>#VALUE!</v>
      </c>
      <c r="Z634" s="6"/>
      <c r="AA634" s="6"/>
    </row>
    <row r="635" spans="1:27" ht="28.95" customHeight="1" x14ac:dyDescent="0.3">
      <c r="A635" s="91"/>
      <c r="B635" s="91"/>
      <c r="C635" s="80"/>
      <c r="D635" s="91"/>
      <c r="E635" s="80"/>
      <c r="F635" s="6"/>
      <c r="G635" s="6"/>
      <c r="H635" s="25"/>
      <c r="I635" s="133"/>
      <c r="J635" s="6"/>
      <c r="K635" s="6"/>
      <c r="L635" s="6"/>
      <c r="M635" s="6"/>
      <c r="N635" s="84"/>
      <c r="O635" s="80" t="str">
        <f>IF(N635="","",VLOOKUP(N635,ROLES!B:C,2,FALSE))</f>
        <v/>
      </c>
      <c r="P635" s="15"/>
      <c r="Q635" s="15"/>
      <c r="R635" s="16">
        <f t="shared" si="20"/>
        <v>0</v>
      </c>
      <c r="S635" s="16"/>
      <c r="T635" s="80" t="str">
        <f>IF(S635="","",VLOOKUP(S635,VALORACION!F:G,2,FALSE))</f>
        <v/>
      </c>
      <c r="U635" s="11"/>
      <c r="V635" s="80" t="str">
        <f>IF(U635="","",VLOOKUP(U635,ROLES!G:H,2,FALSE))</f>
        <v/>
      </c>
      <c r="W635" s="11"/>
      <c r="X635" s="80" t="str">
        <f>IF(W635="","",VLOOKUP(W635,ROLES!I:J,2,FALSE))</f>
        <v/>
      </c>
      <c r="Y635" s="95" t="e">
        <f t="shared" si="19"/>
        <v>#VALUE!</v>
      </c>
      <c r="Z635" s="6"/>
      <c r="AA635" s="6"/>
    </row>
    <row r="636" spans="1:27" ht="28.95" customHeight="1" x14ac:dyDescent="0.3">
      <c r="A636" s="91"/>
      <c r="B636" s="91"/>
      <c r="C636" s="80"/>
      <c r="D636" s="91"/>
      <c r="E636" s="80"/>
      <c r="F636" s="6"/>
      <c r="G636" s="6"/>
      <c r="H636" s="25"/>
      <c r="I636" s="133"/>
      <c r="J636" s="6"/>
      <c r="K636" s="6"/>
      <c r="L636" s="6"/>
      <c r="M636" s="6"/>
      <c r="N636" s="84"/>
      <c r="O636" s="80" t="str">
        <f>IF(N636="","",VLOOKUP(N636,ROLES!B:C,2,FALSE))</f>
        <v/>
      </c>
      <c r="P636" s="15"/>
      <c r="Q636" s="15"/>
      <c r="R636" s="16">
        <f t="shared" si="20"/>
        <v>0</v>
      </c>
      <c r="S636" s="16"/>
      <c r="T636" s="80" t="str">
        <f>IF(S636="","",VLOOKUP(S636,VALORACION!F:G,2,FALSE))</f>
        <v/>
      </c>
      <c r="U636" s="11"/>
      <c r="V636" s="80" t="str">
        <f>IF(U636="","",VLOOKUP(U636,ROLES!G:H,2,FALSE))</f>
        <v/>
      </c>
      <c r="W636" s="11"/>
      <c r="X636" s="80" t="str">
        <f>IF(W636="","",VLOOKUP(W636,ROLES!I:J,2,FALSE))</f>
        <v/>
      </c>
      <c r="Y636" s="95" t="e">
        <f t="shared" si="19"/>
        <v>#VALUE!</v>
      </c>
      <c r="Z636" s="6"/>
      <c r="AA636" s="6"/>
    </row>
    <row r="637" spans="1:27" ht="28.95" customHeight="1" x14ac:dyDescent="0.3">
      <c r="A637" s="91"/>
      <c r="B637" s="91"/>
      <c r="C637" s="80"/>
      <c r="D637" s="91"/>
      <c r="E637" s="80"/>
      <c r="F637" s="6"/>
      <c r="G637" s="6"/>
      <c r="H637" s="25"/>
      <c r="I637" s="133"/>
      <c r="J637" s="6"/>
      <c r="K637" s="6"/>
      <c r="L637" s="6"/>
      <c r="M637" s="6"/>
      <c r="N637" s="84"/>
      <c r="O637" s="80" t="str">
        <f>IF(N637="","",VLOOKUP(N637,ROLES!B:C,2,FALSE))</f>
        <v/>
      </c>
      <c r="P637" s="15"/>
      <c r="Q637" s="15"/>
      <c r="R637" s="16">
        <f t="shared" si="20"/>
        <v>0</v>
      </c>
      <c r="S637" s="16"/>
      <c r="T637" s="80" t="str">
        <f>IF(S637="","",VLOOKUP(S637,VALORACION!F:G,2,FALSE))</f>
        <v/>
      </c>
      <c r="U637" s="11"/>
      <c r="V637" s="80" t="str">
        <f>IF(U637="","",VLOOKUP(U637,ROLES!G:H,2,FALSE))</f>
        <v/>
      </c>
      <c r="W637" s="11"/>
      <c r="X637" s="80" t="str">
        <f>IF(W637="","",VLOOKUP(W637,ROLES!I:J,2,FALSE))</f>
        <v/>
      </c>
      <c r="Y637" s="95" t="e">
        <f t="shared" si="19"/>
        <v>#VALUE!</v>
      </c>
      <c r="Z637" s="6"/>
      <c r="AA637" s="6"/>
    </row>
    <row r="638" spans="1:27" ht="28.95" customHeight="1" x14ac:dyDescent="0.3">
      <c r="A638" s="91"/>
      <c r="B638" s="91"/>
      <c r="C638" s="80"/>
      <c r="D638" s="91"/>
      <c r="E638" s="80"/>
      <c r="F638" s="6"/>
      <c r="G638" s="6"/>
      <c r="H638" s="25"/>
      <c r="I638" s="133"/>
      <c r="J638" s="6"/>
      <c r="K638" s="6"/>
      <c r="L638" s="6"/>
      <c r="M638" s="6"/>
      <c r="N638" s="84"/>
      <c r="O638" s="80" t="str">
        <f>IF(N638="","",VLOOKUP(N638,ROLES!B:C,2,FALSE))</f>
        <v/>
      </c>
      <c r="P638" s="15"/>
      <c r="Q638" s="15"/>
      <c r="R638" s="16">
        <f t="shared" si="20"/>
        <v>0</v>
      </c>
      <c r="S638" s="16"/>
      <c r="T638" s="80" t="str">
        <f>IF(S638="","",VLOOKUP(S638,VALORACION!F:G,2,FALSE))</f>
        <v/>
      </c>
      <c r="U638" s="11"/>
      <c r="V638" s="80" t="str">
        <f>IF(U638="","",VLOOKUP(U638,ROLES!G:H,2,FALSE))</f>
        <v/>
      </c>
      <c r="W638" s="11"/>
      <c r="X638" s="80" t="str">
        <f>IF(W638="","",VLOOKUP(W638,ROLES!I:J,2,FALSE))</f>
        <v/>
      </c>
      <c r="Y638" s="95" t="e">
        <f t="shared" si="19"/>
        <v>#VALUE!</v>
      </c>
      <c r="Z638" s="6"/>
      <c r="AA638" s="6"/>
    </row>
    <row r="639" spans="1:27" ht="28.95" customHeight="1" x14ac:dyDescent="0.3">
      <c r="A639" s="91"/>
      <c r="B639" s="91"/>
      <c r="C639" s="80"/>
      <c r="D639" s="91"/>
      <c r="E639" s="80"/>
      <c r="F639" s="6"/>
      <c r="G639" s="6"/>
      <c r="H639" s="25"/>
      <c r="I639" s="133"/>
      <c r="J639" s="6"/>
      <c r="K639" s="6"/>
      <c r="L639" s="6"/>
      <c r="M639" s="6"/>
      <c r="N639" s="84"/>
      <c r="O639" s="80" t="str">
        <f>IF(N639="","",VLOOKUP(N639,ROLES!B:C,2,FALSE))</f>
        <v/>
      </c>
      <c r="P639" s="15"/>
      <c r="Q639" s="15"/>
      <c r="R639" s="16">
        <f t="shared" si="20"/>
        <v>0</v>
      </c>
      <c r="S639" s="16"/>
      <c r="T639" s="80" t="str">
        <f>IF(S639="","",VLOOKUP(S639,VALORACION!F:G,2,FALSE))</f>
        <v/>
      </c>
      <c r="U639" s="11"/>
      <c r="V639" s="80" t="str">
        <f>IF(U639="","",VLOOKUP(U639,ROLES!G:H,2,FALSE))</f>
        <v/>
      </c>
      <c r="W639" s="11"/>
      <c r="X639" s="80" t="str">
        <f>IF(W639="","",VLOOKUP(W639,ROLES!I:J,2,FALSE))</f>
        <v/>
      </c>
      <c r="Y639" s="95" t="e">
        <f t="shared" si="19"/>
        <v>#VALUE!</v>
      </c>
      <c r="Z639" s="6"/>
      <c r="AA639" s="6"/>
    </row>
    <row r="640" spans="1:27" ht="28.95" customHeight="1" x14ac:dyDescent="0.3">
      <c r="A640" s="91"/>
      <c r="B640" s="91"/>
      <c r="C640" s="80"/>
      <c r="D640" s="91"/>
      <c r="E640" s="80"/>
      <c r="F640" s="6"/>
      <c r="G640" s="6"/>
      <c r="H640" s="25"/>
      <c r="I640" s="133"/>
      <c r="J640" s="6"/>
      <c r="K640" s="6"/>
      <c r="L640" s="6"/>
      <c r="M640" s="6"/>
      <c r="N640" s="84"/>
      <c r="O640" s="80" t="str">
        <f>IF(N640="","",VLOOKUP(N640,ROLES!B:C,2,FALSE))</f>
        <v/>
      </c>
      <c r="P640" s="15"/>
      <c r="Q640" s="15"/>
      <c r="R640" s="16">
        <f t="shared" si="20"/>
        <v>0</v>
      </c>
      <c r="S640" s="16"/>
      <c r="T640" s="80" t="str">
        <f>IF(S640="","",VLOOKUP(S640,VALORACION!F:G,2,FALSE))</f>
        <v/>
      </c>
      <c r="U640" s="11"/>
      <c r="V640" s="80" t="str">
        <f>IF(U640="","",VLOOKUP(U640,ROLES!G:H,2,FALSE))</f>
        <v/>
      </c>
      <c r="W640" s="11"/>
      <c r="X640" s="80" t="str">
        <f>IF(W640="","",VLOOKUP(W640,ROLES!I:J,2,FALSE))</f>
        <v/>
      </c>
      <c r="Y640" s="95" t="e">
        <f t="shared" si="19"/>
        <v>#VALUE!</v>
      </c>
      <c r="Z640" s="6"/>
      <c r="AA640" s="6"/>
    </row>
    <row r="641" spans="1:27" ht="28.95" customHeight="1" x14ac:dyDescent="0.3">
      <c r="A641" s="91"/>
      <c r="B641" s="91"/>
      <c r="C641" s="80"/>
      <c r="D641" s="91"/>
      <c r="E641" s="80"/>
      <c r="F641" s="6"/>
      <c r="G641" s="6"/>
      <c r="H641" s="25"/>
      <c r="I641" s="133"/>
      <c r="J641" s="6"/>
      <c r="K641" s="6"/>
      <c r="L641" s="6"/>
      <c r="M641" s="6"/>
      <c r="N641" s="84"/>
      <c r="O641" s="80" t="str">
        <f>IF(N641="","",VLOOKUP(N641,ROLES!B:C,2,FALSE))</f>
        <v/>
      </c>
      <c r="P641" s="15"/>
      <c r="Q641" s="15"/>
      <c r="R641" s="16">
        <f t="shared" si="20"/>
        <v>0</v>
      </c>
      <c r="S641" s="16"/>
      <c r="T641" s="80" t="str">
        <f>IF(S641="","",VLOOKUP(S641,VALORACION!F:G,2,FALSE))</f>
        <v/>
      </c>
      <c r="U641" s="11"/>
      <c r="V641" s="80" t="str">
        <f>IF(U641="","",VLOOKUP(U641,ROLES!G:H,2,FALSE))</f>
        <v/>
      </c>
      <c r="W641" s="11"/>
      <c r="X641" s="80" t="str">
        <f>IF(W641="","",VLOOKUP(W641,ROLES!I:J,2,FALSE))</f>
        <v/>
      </c>
      <c r="Y641" s="95" t="e">
        <f t="shared" si="19"/>
        <v>#VALUE!</v>
      </c>
      <c r="Z641" s="6"/>
      <c r="AA641" s="6"/>
    </row>
    <row r="642" spans="1:27" ht="28.95" customHeight="1" x14ac:dyDescent="0.3">
      <c r="A642" s="91"/>
      <c r="B642" s="91"/>
      <c r="C642" s="80"/>
      <c r="D642" s="91"/>
      <c r="E642" s="80"/>
      <c r="F642" s="6"/>
      <c r="G642" s="6"/>
      <c r="H642" s="25"/>
      <c r="I642" s="133"/>
      <c r="J642" s="6"/>
      <c r="K642" s="6"/>
      <c r="L642" s="6"/>
      <c r="M642" s="6"/>
      <c r="N642" s="84"/>
      <c r="O642" s="80" t="str">
        <f>IF(N642="","",VLOOKUP(N642,ROLES!B:C,2,FALSE))</f>
        <v/>
      </c>
      <c r="P642" s="15"/>
      <c r="Q642" s="15"/>
      <c r="R642" s="16">
        <f t="shared" si="20"/>
        <v>0</v>
      </c>
      <c r="S642" s="16"/>
      <c r="T642" s="80" t="str">
        <f>IF(S642="","",VLOOKUP(S642,VALORACION!F:G,2,FALSE))</f>
        <v/>
      </c>
      <c r="U642" s="11"/>
      <c r="V642" s="80" t="str">
        <f>IF(U642="","",VLOOKUP(U642,ROLES!G:H,2,FALSE))</f>
        <v/>
      </c>
      <c r="W642" s="11"/>
      <c r="X642" s="80" t="str">
        <f>IF(W642="","",VLOOKUP(W642,ROLES!I:J,2,FALSE))</f>
        <v/>
      </c>
      <c r="Y642" s="95" t="e">
        <f t="shared" si="19"/>
        <v>#VALUE!</v>
      </c>
      <c r="Z642" s="6"/>
      <c r="AA642" s="6"/>
    </row>
    <row r="643" spans="1:27" ht="28.95" customHeight="1" x14ac:dyDescent="0.3">
      <c r="A643" s="91"/>
      <c r="B643" s="91"/>
      <c r="C643" s="80"/>
      <c r="D643" s="91"/>
      <c r="E643" s="80"/>
      <c r="F643" s="6"/>
      <c r="G643" s="6"/>
      <c r="H643" s="25"/>
      <c r="I643" s="133"/>
      <c r="J643" s="6"/>
      <c r="K643" s="6"/>
      <c r="L643" s="6"/>
      <c r="M643" s="6"/>
      <c r="N643" s="84"/>
      <c r="O643" s="80" t="str">
        <f>IF(N643="","",VLOOKUP(N643,ROLES!B:C,2,FALSE))</f>
        <v/>
      </c>
      <c r="P643" s="15"/>
      <c r="Q643" s="15"/>
      <c r="R643" s="16">
        <f t="shared" si="20"/>
        <v>0</v>
      </c>
      <c r="S643" s="16"/>
      <c r="T643" s="80" t="str">
        <f>IF(S643="","",VLOOKUP(S643,VALORACION!F:G,2,FALSE))</f>
        <v/>
      </c>
      <c r="U643" s="11"/>
      <c r="V643" s="80" t="str">
        <f>IF(U643="","",VLOOKUP(U643,ROLES!G:H,2,FALSE))</f>
        <v/>
      </c>
      <c r="W643" s="11"/>
      <c r="X643" s="80" t="str">
        <f>IF(W643="","",VLOOKUP(W643,ROLES!I:J,2,FALSE))</f>
        <v/>
      </c>
      <c r="Y643" s="95" t="e">
        <f t="shared" si="19"/>
        <v>#VALUE!</v>
      </c>
      <c r="Z643" s="6"/>
      <c r="AA643" s="6"/>
    </row>
    <row r="644" spans="1:27" ht="28.95" customHeight="1" x14ac:dyDescent="0.3">
      <c r="A644" s="91"/>
      <c r="B644" s="91"/>
      <c r="C644" s="80"/>
      <c r="D644" s="91"/>
      <c r="E644" s="80"/>
      <c r="F644" s="6"/>
      <c r="G644" s="6"/>
      <c r="H644" s="25"/>
      <c r="I644" s="133"/>
      <c r="J644" s="6"/>
      <c r="K644" s="6"/>
      <c r="L644" s="6"/>
      <c r="M644" s="6"/>
      <c r="N644" s="84"/>
      <c r="O644" s="80" t="str">
        <f>IF(N644="","",VLOOKUP(N644,ROLES!B:C,2,FALSE))</f>
        <v/>
      </c>
      <c r="P644" s="15"/>
      <c r="Q644" s="15"/>
      <c r="R644" s="16">
        <f t="shared" si="20"/>
        <v>0</v>
      </c>
      <c r="S644" s="16"/>
      <c r="T644" s="80" t="str">
        <f>IF(S644="","",VLOOKUP(S644,VALORACION!F:G,2,FALSE))</f>
        <v/>
      </c>
      <c r="U644" s="11"/>
      <c r="V644" s="80" t="str">
        <f>IF(U644="","",VLOOKUP(U644,ROLES!G:H,2,FALSE))</f>
        <v/>
      </c>
      <c r="W644" s="11"/>
      <c r="X644" s="80" t="str">
        <f>IF(W644="","",VLOOKUP(W644,ROLES!I:J,2,FALSE))</f>
        <v/>
      </c>
      <c r="Y644" s="95" t="e">
        <f t="shared" si="19"/>
        <v>#VALUE!</v>
      </c>
      <c r="Z644" s="6"/>
      <c r="AA644" s="6"/>
    </row>
    <row r="645" spans="1:27" ht="28.95" customHeight="1" x14ac:dyDescent="0.3">
      <c r="A645" s="91"/>
      <c r="B645" s="91"/>
      <c r="C645" s="80"/>
      <c r="D645" s="91"/>
      <c r="E645" s="80"/>
      <c r="F645" s="6"/>
      <c r="G645" s="6"/>
      <c r="H645" s="25"/>
      <c r="I645" s="133"/>
      <c r="J645" s="6"/>
      <c r="K645" s="6"/>
      <c r="L645" s="6"/>
      <c r="M645" s="6"/>
      <c r="N645" s="84"/>
      <c r="O645" s="80" t="str">
        <f>IF(N645="","",VLOOKUP(N645,ROLES!B:C,2,FALSE))</f>
        <v/>
      </c>
      <c r="P645" s="15"/>
      <c r="Q645" s="15"/>
      <c r="R645" s="16">
        <f t="shared" si="20"/>
        <v>0</v>
      </c>
      <c r="S645" s="16"/>
      <c r="T645" s="80" t="str">
        <f>IF(S645="","",VLOOKUP(S645,VALORACION!F:G,2,FALSE))</f>
        <v/>
      </c>
      <c r="U645" s="11"/>
      <c r="V645" s="80" t="str">
        <f>IF(U645="","",VLOOKUP(U645,ROLES!G:H,2,FALSE))</f>
        <v/>
      </c>
      <c r="W645" s="11"/>
      <c r="X645" s="80" t="str">
        <f>IF(W645="","",VLOOKUP(W645,ROLES!I:J,2,FALSE))</f>
        <v/>
      </c>
      <c r="Y645" s="95" t="e">
        <f t="shared" ref="Y645:Y708" si="21">(VALUE(O645)+VALUE(V645)+VALUE(X645)+VALUE(T645))/3</f>
        <v>#VALUE!</v>
      </c>
      <c r="Z645" s="6"/>
      <c r="AA645" s="6"/>
    </row>
    <row r="646" spans="1:27" ht="28.95" customHeight="1" x14ac:dyDescent="0.3">
      <c r="A646" s="91"/>
      <c r="B646" s="91"/>
      <c r="C646" s="80"/>
      <c r="D646" s="91"/>
      <c r="E646" s="80"/>
      <c r="F646" s="6"/>
      <c r="G646" s="6"/>
      <c r="H646" s="25"/>
      <c r="I646" s="133"/>
      <c r="J646" s="6"/>
      <c r="K646" s="6"/>
      <c r="L646" s="6"/>
      <c r="M646" s="6"/>
      <c r="N646" s="84"/>
      <c r="O646" s="80" t="str">
        <f>IF(N646="","",VLOOKUP(N646,ROLES!B:C,2,FALSE))</f>
        <v/>
      </c>
      <c r="P646" s="15"/>
      <c r="Q646" s="15"/>
      <c r="R646" s="16">
        <f t="shared" si="20"/>
        <v>0</v>
      </c>
      <c r="S646" s="16"/>
      <c r="T646" s="80" t="str">
        <f>IF(S646="","",VLOOKUP(S646,VALORACION!F:G,2,FALSE))</f>
        <v/>
      </c>
      <c r="U646" s="11"/>
      <c r="V646" s="80" t="str">
        <f>IF(U646="","",VLOOKUP(U646,ROLES!G:H,2,FALSE))</f>
        <v/>
      </c>
      <c r="W646" s="11"/>
      <c r="X646" s="80" t="str">
        <f>IF(W646="","",VLOOKUP(W646,ROLES!I:J,2,FALSE))</f>
        <v/>
      </c>
      <c r="Y646" s="95" t="e">
        <f t="shared" si="21"/>
        <v>#VALUE!</v>
      </c>
      <c r="Z646" s="6"/>
      <c r="AA646" s="6"/>
    </row>
    <row r="647" spans="1:27" ht="28.95" customHeight="1" x14ac:dyDescent="0.3">
      <c r="A647" s="91"/>
      <c r="B647" s="91"/>
      <c r="C647" s="80"/>
      <c r="D647" s="91"/>
      <c r="E647" s="80"/>
      <c r="F647" s="6"/>
      <c r="G647" s="6"/>
      <c r="H647" s="25"/>
      <c r="I647" s="133"/>
      <c r="J647" s="6"/>
      <c r="K647" s="6"/>
      <c r="L647" s="6"/>
      <c r="M647" s="6"/>
      <c r="N647" s="84"/>
      <c r="O647" s="80" t="str">
        <f>IF(N647="","",VLOOKUP(N647,ROLES!B:C,2,FALSE))</f>
        <v/>
      </c>
      <c r="P647" s="15"/>
      <c r="Q647" s="15"/>
      <c r="R647" s="16">
        <f t="shared" ref="R647:R710" si="22">DATEDIF(P647,Q647,"m")</f>
        <v>0</v>
      </c>
      <c r="S647" s="16"/>
      <c r="T647" s="80" t="str">
        <f>IF(S647="","",VLOOKUP(S647,VALORACION!F:G,2,FALSE))</f>
        <v/>
      </c>
      <c r="U647" s="11"/>
      <c r="V647" s="80" t="str">
        <f>IF(U647="","",VLOOKUP(U647,ROLES!G:H,2,FALSE))</f>
        <v/>
      </c>
      <c r="W647" s="11"/>
      <c r="X647" s="80" t="str">
        <f>IF(W647="","",VLOOKUP(W647,ROLES!I:J,2,FALSE))</f>
        <v/>
      </c>
      <c r="Y647" s="95" t="e">
        <f t="shared" si="21"/>
        <v>#VALUE!</v>
      </c>
      <c r="Z647" s="6"/>
      <c r="AA647" s="6"/>
    </row>
    <row r="648" spans="1:27" ht="28.95" customHeight="1" x14ac:dyDescent="0.3">
      <c r="A648" s="91"/>
      <c r="B648" s="91"/>
      <c r="C648" s="80"/>
      <c r="D648" s="91"/>
      <c r="E648" s="80"/>
      <c r="F648" s="6"/>
      <c r="G648" s="6"/>
      <c r="H648" s="25"/>
      <c r="I648" s="133"/>
      <c r="J648" s="6"/>
      <c r="K648" s="6"/>
      <c r="L648" s="6"/>
      <c r="M648" s="6"/>
      <c r="N648" s="84"/>
      <c r="O648" s="80" t="str">
        <f>IF(N648="","",VLOOKUP(N648,ROLES!B:C,2,FALSE))</f>
        <v/>
      </c>
      <c r="P648" s="15"/>
      <c r="Q648" s="15"/>
      <c r="R648" s="16">
        <f t="shared" si="22"/>
        <v>0</v>
      </c>
      <c r="S648" s="16"/>
      <c r="T648" s="80" t="str">
        <f>IF(S648="","",VLOOKUP(S648,VALORACION!F:G,2,FALSE))</f>
        <v/>
      </c>
      <c r="U648" s="11"/>
      <c r="V648" s="80" t="str">
        <f>IF(U648="","",VLOOKUP(U648,ROLES!G:H,2,FALSE))</f>
        <v/>
      </c>
      <c r="W648" s="11"/>
      <c r="X648" s="80" t="str">
        <f>IF(W648="","",VLOOKUP(W648,ROLES!I:J,2,FALSE))</f>
        <v/>
      </c>
      <c r="Y648" s="95" t="e">
        <f t="shared" si="21"/>
        <v>#VALUE!</v>
      </c>
      <c r="Z648" s="6"/>
      <c r="AA648" s="6"/>
    </row>
    <row r="649" spans="1:27" ht="28.95" customHeight="1" x14ac:dyDescent="0.3">
      <c r="A649" s="91"/>
      <c r="B649" s="91"/>
      <c r="C649" s="80"/>
      <c r="D649" s="91"/>
      <c r="E649" s="80"/>
      <c r="F649" s="6"/>
      <c r="G649" s="6"/>
      <c r="H649" s="25"/>
      <c r="I649" s="133"/>
      <c r="J649" s="6"/>
      <c r="K649" s="6"/>
      <c r="L649" s="6"/>
      <c r="M649" s="6"/>
      <c r="N649" s="84"/>
      <c r="O649" s="80" t="str">
        <f>IF(N649="","",VLOOKUP(N649,ROLES!B:C,2,FALSE))</f>
        <v/>
      </c>
      <c r="P649" s="15"/>
      <c r="Q649" s="15"/>
      <c r="R649" s="16">
        <f t="shared" si="22"/>
        <v>0</v>
      </c>
      <c r="S649" s="16"/>
      <c r="T649" s="80" t="str">
        <f>IF(S649="","",VLOOKUP(S649,VALORACION!F:G,2,FALSE))</f>
        <v/>
      </c>
      <c r="U649" s="11"/>
      <c r="V649" s="80" t="str">
        <f>IF(U649="","",VLOOKUP(U649,ROLES!G:H,2,FALSE))</f>
        <v/>
      </c>
      <c r="W649" s="11"/>
      <c r="X649" s="80" t="str">
        <f>IF(W649="","",VLOOKUP(W649,ROLES!I:J,2,FALSE))</f>
        <v/>
      </c>
      <c r="Y649" s="95" t="e">
        <f t="shared" si="21"/>
        <v>#VALUE!</v>
      </c>
      <c r="Z649" s="6"/>
      <c r="AA649" s="6"/>
    </row>
    <row r="650" spans="1:27" ht="28.95" customHeight="1" x14ac:dyDescent="0.3">
      <c r="A650" s="91"/>
      <c r="B650" s="91"/>
      <c r="C650" s="80"/>
      <c r="D650" s="91"/>
      <c r="E650" s="80"/>
      <c r="F650" s="6"/>
      <c r="G650" s="6"/>
      <c r="H650" s="25"/>
      <c r="I650" s="133"/>
      <c r="J650" s="6"/>
      <c r="K650" s="6"/>
      <c r="L650" s="6"/>
      <c r="M650" s="6"/>
      <c r="N650" s="84"/>
      <c r="O650" s="80" t="str">
        <f>IF(N650="","",VLOOKUP(N650,ROLES!B:C,2,FALSE))</f>
        <v/>
      </c>
      <c r="P650" s="15"/>
      <c r="Q650" s="15"/>
      <c r="R650" s="16">
        <f t="shared" si="22"/>
        <v>0</v>
      </c>
      <c r="S650" s="16"/>
      <c r="T650" s="80" t="str">
        <f>IF(S650="","",VLOOKUP(S650,VALORACION!F:G,2,FALSE))</f>
        <v/>
      </c>
      <c r="U650" s="11"/>
      <c r="V650" s="80" t="str">
        <f>IF(U650="","",VLOOKUP(U650,ROLES!G:H,2,FALSE))</f>
        <v/>
      </c>
      <c r="W650" s="11"/>
      <c r="X650" s="80" t="str">
        <f>IF(W650="","",VLOOKUP(W650,ROLES!I:J,2,FALSE))</f>
        <v/>
      </c>
      <c r="Y650" s="95" t="e">
        <f t="shared" si="21"/>
        <v>#VALUE!</v>
      </c>
      <c r="Z650" s="6"/>
      <c r="AA650" s="6"/>
    </row>
    <row r="651" spans="1:27" ht="28.95" customHeight="1" x14ac:dyDescent="0.3">
      <c r="A651" s="91"/>
      <c r="B651" s="91"/>
      <c r="C651" s="80"/>
      <c r="D651" s="91"/>
      <c r="E651" s="80"/>
      <c r="F651" s="6"/>
      <c r="G651" s="6"/>
      <c r="H651" s="25"/>
      <c r="I651" s="133"/>
      <c r="J651" s="6"/>
      <c r="K651" s="6"/>
      <c r="L651" s="6"/>
      <c r="M651" s="6"/>
      <c r="N651" s="84"/>
      <c r="O651" s="80" t="str">
        <f>IF(N651="","",VLOOKUP(N651,ROLES!B:C,2,FALSE))</f>
        <v/>
      </c>
      <c r="P651" s="15"/>
      <c r="Q651" s="15"/>
      <c r="R651" s="16">
        <f t="shared" si="22"/>
        <v>0</v>
      </c>
      <c r="S651" s="16"/>
      <c r="T651" s="80" t="str">
        <f>IF(S651="","",VLOOKUP(S651,VALORACION!F:G,2,FALSE))</f>
        <v/>
      </c>
      <c r="U651" s="11"/>
      <c r="V651" s="80" t="str">
        <f>IF(U651="","",VLOOKUP(U651,ROLES!G:H,2,FALSE))</f>
        <v/>
      </c>
      <c r="W651" s="11"/>
      <c r="X651" s="80" t="str">
        <f>IF(W651="","",VLOOKUP(W651,ROLES!I:J,2,FALSE))</f>
        <v/>
      </c>
      <c r="Y651" s="95" t="e">
        <f t="shared" si="21"/>
        <v>#VALUE!</v>
      </c>
      <c r="Z651" s="6"/>
      <c r="AA651" s="6"/>
    </row>
    <row r="652" spans="1:27" ht="28.95" customHeight="1" x14ac:dyDescent="0.3">
      <c r="A652" s="91"/>
      <c r="B652" s="91"/>
      <c r="C652" s="80"/>
      <c r="D652" s="91"/>
      <c r="E652" s="80"/>
      <c r="F652" s="6"/>
      <c r="G652" s="6"/>
      <c r="H652" s="25"/>
      <c r="I652" s="133"/>
      <c r="J652" s="6"/>
      <c r="K652" s="6"/>
      <c r="L652" s="6"/>
      <c r="M652" s="6"/>
      <c r="N652" s="84"/>
      <c r="O652" s="80" t="str">
        <f>IF(N652="","",VLOOKUP(N652,ROLES!B:C,2,FALSE))</f>
        <v/>
      </c>
      <c r="P652" s="15"/>
      <c r="Q652" s="15"/>
      <c r="R652" s="16">
        <f t="shared" si="22"/>
        <v>0</v>
      </c>
      <c r="S652" s="16"/>
      <c r="T652" s="80" t="str">
        <f>IF(S652="","",VLOOKUP(S652,VALORACION!F:G,2,FALSE))</f>
        <v/>
      </c>
      <c r="U652" s="11"/>
      <c r="V652" s="80" t="str">
        <f>IF(U652="","",VLOOKUP(U652,ROLES!G:H,2,FALSE))</f>
        <v/>
      </c>
      <c r="W652" s="11"/>
      <c r="X652" s="80" t="str">
        <f>IF(W652="","",VLOOKUP(W652,ROLES!I:J,2,FALSE))</f>
        <v/>
      </c>
      <c r="Y652" s="95" t="e">
        <f t="shared" si="21"/>
        <v>#VALUE!</v>
      </c>
      <c r="Z652" s="6"/>
      <c r="AA652" s="6"/>
    </row>
    <row r="653" spans="1:27" ht="28.95" customHeight="1" x14ac:dyDescent="0.3">
      <c r="A653" s="91"/>
      <c r="B653" s="91"/>
      <c r="C653" s="80"/>
      <c r="D653" s="91"/>
      <c r="E653" s="80"/>
      <c r="F653" s="6"/>
      <c r="G653" s="6"/>
      <c r="H653" s="25"/>
      <c r="I653" s="133"/>
      <c r="J653" s="6"/>
      <c r="K653" s="6"/>
      <c r="L653" s="6"/>
      <c r="M653" s="6"/>
      <c r="N653" s="84"/>
      <c r="O653" s="80" t="str">
        <f>IF(N653="","",VLOOKUP(N653,ROLES!B:C,2,FALSE))</f>
        <v/>
      </c>
      <c r="P653" s="15"/>
      <c r="Q653" s="15"/>
      <c r="R653" s="16">
        <f t="shared" si="22"/>
        <v>0</v>
      </c>
      <c r="S653" s="16"/>
      <c r="T653" s="80" t="str">
        <f>IF(S653="","",VLOOKUP(S653,VALORACION!F:G,2,FALSE))</f>
        <v/>
      </c>
      <c r="U653" s="11"/>
      <c r="V653" s="80" t="str">
        <f>IF(U653="","",VLOOKUP(U653,ROLES!G:H,2,FALSE))</f>
        <v/>
      </c>
      <c r="W653" s="11"/>
      <c r="X653" s="80" t="str">
        <f>IF(W653="","",VLOOKUP(W653,ROLES!I:J,2,FALSE))</f>
        <v/>
      </c>
      <c r="Y653" s="95" t="e">
        <f t="shared" si="21"/>
        <v>#VALUE!</v>
      </c>
      <c r="Z653" s="6"/>
      <c r="AA653" s="6"/>
    </row>
    <row r="654" spans="1:27" ht="28.95" customHeight="1" x14ac:dyDescent="0.3">
      <c r="A654" s="91"/>
      <c r="B654" s="91"/>
      <c r="C654" s="80"/>
      <c r="D654" s="91"/>
      <c r="E654" s="80"/>
      <c r="F654" s="6"/>
      <c r="G654" s="6"/>
      <c r="H654" s="25"/>
      <c r="I654" s="133"/>
      <c r="J654" s="6"/>
      <c r="K654" s="6"/>
      <c r="L654" s="6"/>
      <c r="M654" s="6"/>
      <c r="N654" s="84"/>
      <c r="O654" s="80" t="str">
        <f>IF(N654="","",VLOOKUP(N654,ROLES!B:C,2,FALSE))</f>
        <v/>
      </c>
      <c r="P654" s="15"/>
      <c r="Q654" s="15"/>
      <c r="R654" s="16">
        <f t="shared" si="22"/>
        <v>0</v>
      </c>
      <c r="S654" s="16"/>
      <c r="T654" s="80" t="str">
        <f>IF(S654="","",VLOOKUP(S654,VALORACION!F:G,2,FALSE))</f>
        <v/>
      </c>
      <c r="U654" s="11"/>
      <c r="V654" s="80" t="str">
        <f>IF(U654="","",VLOOKUP(U654,ROLES!G:H,2,FALSE))</f>
        <v/>
      </c>
      <c r="W654" s="11"/>
      <c r="X654" s="80" t="str">
        <f>IF(W654="","",VLOOKUP(W654,ROLES!I:J,2,FALSE))</f>
        <v/>
      </c>
      <c r="Y654" s="95" t="e">
        <f t="shared" si="21"/>
        <v>#VALUE!</v>
      </c>
      <c r="Z654" s="6"/>
      <c r="AA654" s="6"/>
    </row>
    <row r="655" spans="1:27" ht="28.95" customHeight="1" x14ac:dyDescent="0.3">
      <c r="A655" s="91"/>
      <c r="B655" s="91"/>
      <c r="C655" s="80"/>
      <c r="D655" s="91"/>
      <c r="E655" s="80"/>
      <c r="F655" s="6"/>
      <c r="G655" s="6"/>
      <c r="H655" s="25"/>
      <c r="I655" s="133"/>
      <c r="J655" s="6"/>
      <c r="K655" s="6"/>
      <c r="L655" s="6"/>
      <c r="M655" s="6"/>
      <c r="N655" s="84"/>
      <c r="O655" s="80" t="str">
        <f>IF(N655="","",VLOOKUP(N655,ROLES!B:C,2,FALSE))</f>
        <v/>
      </c>
      <c r="P655" s="15"/>
      <c r="Q655" s="15"/>
      <c r="R655" s="16">
        <f t="shared" si="22"/>
        <v>0</v>
      </c>
      <c r="S655" s="16"/>
      <c r="T655" s="80" t="str">
        <f>IF(S655="","",VLOOKUP(S655,VALORACION!F:G,2,FALSE))</f>
        <v/>
      </c>
      <c r="U655" s="11"/>
      <c r="V655" s="80" t="str">
        <f>IF(U655="","",VLOOKUP(U655,ROLES!G:H,2,FALSE))</f>
        <v/>
      </c>
      <c r="W655" s="11"/>
      <c r="X655" s="80" t="str">
        <f>IF(W655="","",VLOOKUP(W655,ROLES!I:J,2,FALSE))</f>
        <v/>
      </c>
      <c r="Y655" s="95" t="e">
        <f t="shared" si="21"/>
        <v>#VALUE!</v>
      </c>
      <c r="Z655" s="6"/>
      <c r="AA655" s="6"/>
    </row>
    <row r="656" spans="1:27" ht="28.95" customHeight="1" x14ac:dyDescent="0.3">
      <c r="A656" s="91"/>
      <c r="B656" s="91"/>
      <c r="C656" s="80"/>
      <c r="D656" s="91"/>
      <c r="E656" s="80"/>
      <c r="F656" s="6"/>
      <c r="G656" s="6"/>
      <c r="H656" s="25"/>
      <c r="I656" s="133"/>
      <c r="J656" s="6"/>
      <c r="K656" s="6"/>
      <c r="L656" s="6"/>
      <c r="M656" s="6"/>
      <c r="N656" s="84"/>
      <c r="O656" s="80" t="str">
        <f>IF(N656="","",VLOOKUP(N656,ROLES!B:C,2,FALSE))</f>
        <v/>
      </c>
      <c r="P656" s="15"/>
      <c r="Q656" s="15"/>
      <c r="R656" s="16">
        <f t="shared" si="22"/>
        <v>0</v>
      </c>
      <c r="S656" s="16"/>
      <c r="T656" s="80" t="str">
        <f>IF(S656="","",VLOOKUP(S656,VALORACION!F:G,2,FALSE))</f>
        <v/>
      </c>
      <c r="U656" s="11"/>
      <c r="V656" s="80" t="str">
        <f>IF(U656="","",VLOOKUP(U656,ROLES!G:H,2,FALSE))</f>
        <v/>
      </c>
      <c r="W656" s="11"/>
      <c r="X656" s="80" t="str">
        <f>IF(W656="","",VLOOKUP(W656,ROLES!I:J,2,FALSE))</f>
        <v/>
      </c>
      <c r="Y656" s="95" t="e">
        <f t="shared" si="21"/>
        <v>#VALUE!</v>
      </c>
      <c r="Z656" s="6"/>
      <c r="AA656" s="6"/>
    </row>
    <row r="657" spans="1:27" ht="28.95" customHeight="1" x14ac:dyDescent="0.3">
      <c r="A657" s="91"/>
      <c r="B657" s="91"/>
      <c r="C657" s="80"/>
      <c r="D657" s="91"/>
      <c r="E657" s="80"/>
      <c r="F657" s="6"/>
      <c r="G657" s="6"/>
      <c r="H657" s="25"/>
      <c r="I657" s="133"/>
      <c r="J657" s="6"/>
      <c r="K657" s="6"/>
      <c r="L657" s="6"/>
      <c r="M657" s="6"/>
      <c r="N657" s="84"/>
      <c r="O657" s="80" t="str">
        <f>IF(N657="","",VLOOKUP(N657,ROLES!B:C,2,FALSE))</f>
        <v/>
      </c>
      <c r="P657" s="15"/>
      <c r="Q657" s="15"/>
      <c r="R657" s="16">
        <f t="shared" si="22"/>
        <v>0</v>
      </c>
      <c r="S657" s="16"/>
      <c r="T657" s="80" t="str">
        <f>IF(S657="","",VLOOKUP(S657,VALORACION!F:G,2,FALSE))</f>
        <v/>
      </c>
      <c r="U657" s="11"/>
      <c r="V657" s="80" t="str">
        <f>IF(U657="","",VLOOKUP(U657,ROLES!G:H,2,FALSE))</f>
        <v/>
      </c>
      <c r="W657" s="11"/>
      <c r="X657" s="80" t="str">
        <f>IF(W657="","",VLOOKUP(W657,ROLES!I:J,2,FALSE))</f>
        <v/>
      </c>
      <c r="Y657" s="95" t="e">
        <f t="shared" si="21"/>
        <v>#VALUE!</v>
      </c>
      <c r="Z657" s="6"/>
      <c r="AA657" s="6"/>
    </row>
    <row r="658" spans="1:27" ht="28.95" customHeight="1" x14ac:dyDescent="0.3">
      <c r="A658" s="91"/>
      <c r="B658" s="91"/>
      <c r="C658" s="80"/>
      <c r="D658" s="91"/>
      <c r="E658" s="80"/>
      <c r="F658" s="6"/>
      <c r="G658" s="6"/>
      <c r="H658" s="25"/>
      <c r="I658" s="133"/>
      <c r="J658" s="6"/>
      <c r="K658" s="6"/>
      <c r="L658" s="6"/>
      <c r="M658" s="6"/>
      <c r="N658" s="84"/>
      <c r="O658" s="80" t="str">
        <f>IF(N658="","",VLOOKUP(N658,ROLES!B:C,2,FALSE))</f>
        <v/>
      </c>
      <c r="P658" s="15"/>
      <c r="Q658" s="15"/>
      <c r="R658" s="16">
        <f t="shared" si="22"/>
        <v>0</v>
      </c>
      <c r="S658" s="16"/>
      <c r="T658" s="80" t="str">
        <f>IF(S658="","",VLOOKUP(S658,VALORACION!F:G,2,FALSE))</f>
        <v/>
      </c>
      <c r="U658" s="11"/>
      <c r="V658" s="80" t="str">
        <f>IF(U658="","",VLOOKUP(U658,ROLES!G:H,2,FALSE))</f>
        <v/>
      </c>
      <c r="W658" s="11"/>
      <c r="X658" s="80" t="str">
        <f>IF(W658="","",VLOOKUP(W658,ROLES!I:J,2,FALSE))</f>
        <v/>
      </c>
      <c r="Y658" s="95" t="e">
        <f t="shared" si="21"/>
        <v>#VALUE!</v>
      </c>
      <c r="Z658" s="6"/>
      <c r="AA658" s="6"/>
    </row>
    <row r="659" spans="1:27" ht="28.95" customHeight="1" x14ac:dyDescent="0.3">
      <c r="A659" s="91"/>
      <c r="B659" s="91"/>
      <c r="C659" s="80"/>
      <c r="D659" s="91"/>
      <c r="E659" s="80"/>
      <c r="F659" s="6"/>
      <c r="G659" s="6"/>
      <c r="H659" s="25"/>
      <c r="I659" s="133"/>
      <c r="J659" s="6"/>
      <c r="K659" s="6"/>
      <c r="L659" s="6"/>
      <c r="M659" s="6"/>
      <c r="N659" s="84"/>
      <c r="O659" s="80" t="str">
        <f>IF(N659="","",VLOOKUP(N659,ROLES!B:C,2,FALSE))</f>
        <v/>
      </c>
      <c r="P659" s="15"/>
      <c r="Q659" s="15"/>
      <c r="R659" s="16">
        <f t="shared" si="22"/>
        <v>0</v>
      </c>
      <c r="S659" s="16"/>
      <c r="T659" s="80" t="str">
        <f>IF(S659="","",VLOOKUP(S659,VALORACION!F:G,2,FALSE))</f>
        <v/>
      </c>
      <c r="U659" s="11"/>
      <c r="V659" s="80" t="str">
        <f>IF(U659="","",VLOOKUP(U659,ROLES!G:H,2,FALSE))</f>
        <v/>
      </c>
      <c r="W659" s="11"/>
      <c r="X659" s="80" t="str">
        <f>IF(W659="","",VLOOKUP(W659,ROLES!I:J,2,FALSE))</f>
        <v/>
      </c>
      <c r="Y659" s="95" t="e">
        <f t="shared" si="21"/>
        <v>#VALUE!</v>
      </c>
      <c r="Z659" s="6"/>
      <c r="AA659" s="6"/>
    </row>
    <row r="660" spans="1:27" ht="28.95" customHeight="1" x14ac:dyDescent="0.3">
      <c r="A660" s="91"/>
      <c r="B660" s="91"/>
      <c r="C660" s="80"/>
      <c r="D660" s="91"/>
      <c r="E660" s="80"/>
      <c r="F660" s="6"/>
      <c r="G660" s="6"/>
      <c r="H660" s="25"/>
      <c r="I660" s="133"/>
      <c r="J660" s="6"/>
      <c r="K660" s="6"/>
      <c r="L660" s="6"/>
      <c r="M660" s="6"/>
      <c r="N660" s="84"/>
      <c r="O660" s="80" t="str">
        <f>IF(N660="","",VLOOKUP(N660,ROLES!B:C,2,FALSE))</f>
        <v/>
      </c>
      <c r="P660" s="15"/>
      <c r="Q660" s="15"/>
      <c r="R660" s="16">
        <f t="shared" si="22"/>
        <v>0</v>
      </c>
      <c r="S660" s="16"/>
      <c r="T660" s="80" t="str">
        <f>IF(S660="","",VLOOKUP(S660,VALORACION!F:G,2,FALSE))</f>
        <v/>
      </c>
      <c r="U660" s="11"/>
      <c r="V660" s="80" t="str">
        <f>IF(U660="","",VLOOKUP(U660,ROLES!G:H,2,FALSE))</f>
        <v/>
      </c>
      <c r="W660" s="11"/>
      <c r="X660" s="80" t="str">
        <f>IF(W660="","",VLOOKUP(W660,ROLES!I:J,2,FALSE))</f>
        <v/>
      </c>
      <c r="Y660" s="95" t="e">
        <f t="shared" si="21"/>
        <v>#VALUE!</v>
      </c>
      <c r="Z660" s="6"/>
      <c r="AA660" s="6"/>
    </row>
    <row r="661" spans="1:27" ht="28.95" customHeight="1" x14ac:dyDescent="0.3">
      <c r="A661" s="91"/>
      <c r="B661" s="91"/>
      <c r="C661" s="80"/>
      <c r="D661" s="91"/>
      <c r="E661" s="80"/>
      <c r="F661" s="6"/>
      <c r="G661" s="6"/>
      <c r="H661" s="25"/>
      <c r="I661" s="133"/>
      <c r="J661" s="6"/>
      <c r="K661" s="6"/>
      <c r="L661" s="6"/>
      <c r="M661" s="6"/>
      <c r="N661" s="84"/>
      <c r="O661" s="80" t="str">
        <f>IF(N661="","",VLOOKUP(N661,ROLES!B:C,2,FALSE))</f>
        <v/>
      </c>
      <c r="P661" s="15"/>
      <c r="Q661" s="15"/>
      <c r="R661" s="16">
        <f t="shared" si="22"/>
        <v>0</v>
      </c>
      <c r="S661" s="16"/>
      <c r="T661" s="80" t="str">
        <f>IF(S661="","",VLOOKUP(S661,VALORACION!F:G,2,FALSE))</f>
        <v/>
      </c>
      <c r="U661" s="11"/>
      <c r="V661" s="80" t="str">
        <f>IF(U661="","",VLOOKUP(U661,ROLES!G:H,2,FALSE))</f>
        <v/>
      </c>
      <c r="W661" s="11"/>
      <c r="X661" s="80" t="str">
        <f>IF(W661="","",VLOOKUP(W661,ROLES!I:J,2,FALSE))</f>
        <v/>
      </c>
      <c r="Y661" s="95" t="e">
        <f t="shared" si="21"/>
        <v>#VALUE!</v>
      </c>
      <c r="Z661" s="6"/>
      <c r="AA661" s="6"/>
    </row>
    <row r="662" spans="1:27" ht="28.95" customHeight="1" x14ac:dyDescent="0.3">
      <c r="A662" s="91"/>
      <c r="B662" s="91"/>
      <c r="C662" s="80"/>
      <c r="D662" s="91"/>
      <c r="E662" s="80"/>
      <c r="F662" s="6"/>
      <c r="G662" s="6"/>
      <c r="H662" s="25"/>
      <c r="I662" s="133"/>
      <c r="J662" s="6"/>
      <c r="K662" s="6"/>
      <c r="L662" s="6"/>
      <c r="M662" s="6"/>
      <c r="N662" s="84"/>
      <c r="O662" s="80" t="str">
        <f>IF(N662="","",VLOOKUP(N662,ROLES!B:C,2,FALSE))</f>
        <v/>
      </c>
      <c r="P662" s="15"/>
      <c r="Q662" s="15"/>
      <c r="R662" s="16">
        <f t="shared" si="22"/>
        <v>0</v>
      </c>
      <c r="S662" s="16"/>
      <c r="T662" s="80" t="str">
        <f>IF(S662="","",VLOOKUP(S662,VALORACION!F:G,2,FALSE))</f>
        <v/>
      </c>
      <c r="U662" s="11"/>
      <c r="V662" s="80" t="str">
        <f>IF(U662="","",VLOOKUP(U662,ROLES!G:H,2,FALSE))</f>
        <v/>
      </c>
      <c r="W662" s="11"/>
      <c r="X662" s="80" t="str">
        <f>IF(W662="","",VLOOKUP(W662,ROLES!I:J,2,FALSE))</f>
        <v/>
      </c>
      <c r="Y662" s="95" t="e">
        <f t="shared" si="21"/>
        <v>#VALUE!</v>
      </c>
      <c r="Z662" s="6"/>
      <c r="AA662" s="6"/>
    </row>
    <row r="663" spans="1:27" ht="28.95" customHeight="1" x14ac:dyDescent="0.3">
      <c r="A663" s="91"/>
      <c r="B663" s="91"/>
      <c r="C663" s="80"/>
      <c r="D663" s="91"/>
      <c r="E663" s="80"/>
      <c r="F663" s="6"/>
      <c r="G663" s="6"/>
      <c r="H663" s="25"/>
      <c r="I663" s="133"/>
      <c r="J663" s="6"/>
      <c r="K663" s="6"/>
      <c r="L663" s="6"/>
      <c r="M663" s="6"/>
      <c r="N663" s="84"/>
      <c r="O663" s="80" t="str">
        <f>IF(N663="","",VLOOKUP(N663,ROLES!B:C,2,FALSE))</f>
        <v/>
      </c>
      <c r="P663" s="15"/>
      <c r="Q663" s="15"/>
      <c r="R663" s="16">
        <f t="shared" si="22"/>
        <v>0</v>
      </c>
      <c r="S663" s="16"/>
      <c r="T663" s="80" t="str">
        <f>IF(S663="","",VLOOKUP(S663,VALORACION!F:G,2,FALSE))</f>
        <v/>
      </c>
      <c r="U663" s="11"/>
      <c r="V663" s="80" t="str">
        <f>IF(U663="","",VLOOKUP(U663,ROLES!G:H,2,FALSE))</f>
        <v/>
      </c>
      <c r="W663" s="11"/>
      <c r="X663" s="80" t="str">
        <f>IF(W663="","",VLOOKUP(W663,ROLES!I:J,2,FALSE))</f>
        <v/>
      </c>
      <c r="Y663" s="95" t="e">
        <f t="shared" si="21"/>
        <v>#VALUE!</v>
      </c>
      <c r="Z663" s="6"/>
      <c r="AA663" s="6"/>
    </row>
    <row r="664" spans="1:27" ht="28.95" customHeight="1" x14ac:dyDescent="0.3">
      <c r="A664" s="91"/>
      <c r="B664" s="91"/>
      <c r="C664" s="80"/>
      <c r="D664" s="91"/>
      <c r="E664" s="80"/>
      <c r="F664" s="6"/>
      <c r="G664" s="6"/>
      <c r="H664" s="25"/>
      <c r="I664" s="133"/>
      <c r="J664" s="6"/>
      <c r="K664" s="6"/>
      <c r="L664" s="6"/>
      <c r="M664" s="6"/>
      <c r="N664" s="84"/>
      <c r="O664" s="80" t="str">
        <f>IF(N664="","",VLOOKUP(N664,ROLES!B:C,2,FALSE))</f>
        <v/>
      </c>
      <c r="P664" s="15"/>
      <c r="Q664" s="15"/>
      <c r="R664" s="16">
        <f t="shared" si="22"/>
        <v>0</v>
      </c>
      <c r="S664" s="16"/>
      <c r="T664" s="80" t="str">
        <f>IF(S664="","",VLOOKUP(S664,VALORACION!F:G,2,FALSE))</f>
        <v/>
      </c>
      <c r="U664" s="11"/>
      <c r="V664" s="80" t="str">
        <f>IF(U664="","",VLOOKUP(U664,ROLES!G:H,2,FALSE))</f>
        <v/>
      </c>
      <c r="W664" s="11"/>
      <c r="X664" s="80" t="str">
        <f>IF(W664="","",VLOOKUP(W664,ROLES!I:J,2,FALSE))</f>
        <v/>
      </c>
      <c r="Y664" s="95" t="e">
        <f t="shared" si="21"/>
        <v>#VALUE!</v>
      </c>
      <c r="Z664" s="6"/>
      <c r="AA664" s="6"/>
    </row>
    <row r="665" spans="1:27" ht="28.95" customHeight="1" x14ac:dyDescent="0.3">
      <c r="A665" s="91"/>
      <c r="B665" s="91"/>
      <c r="C665" s="80"/>
      <c r="D665" s="91"/>
      <c r="E665" s="80"/>
      <c r="F665" s="6"/>
      <c r="G665" s="6"/>
      <c r="H665" s="25"/>
      <c r="I665" s="133"/>
      <c r="J665" s="6"/>
      <c r="K665" s="6"/>
      <c r="L665" s="6"/>
      <c r="M665" s="6"/>
      <c r="N665" s="84"/>
      <c r="O665" s="80" t="str">
        <f>IF(N665="","",VLOOKUP(N665,ROLES!B:C,2,FALSE))</f>
        <v/>
      </c>
      <c r="P665" s="15"/>
      <c r="Q665" s="15"/>
      <c r="R665" s="16">
        <f t="shared" si="22"/>
        <v>0</v>
      </c>
      <c r="S665" s="16"/>
      <c r="T665" s="80" t="str">
        <f>IF(S665="","",VLOOKUP(S665,VALORACION!F:G,2,FALSE))</f>
        <v/>
      </c>
      <c r="U665" s="11"/>
      <c r="V665" s="80" t="str">
        <f>IF(U665="","",VLOOKUP(U665,ROLES!G:H,2,FALSE))</f>
        <v/>
      </c>
      <c r="W665" s="11"/>
      <c r="X665" s="80" t="str">
        <f>IF(W665="","",VLOOKUP(W665,ROLES!I:J,2,FALSE))</f>
        <v/>
      </c>
      <c r="Y665" s="95" t="e">
        <f t="shared" si="21"/>
        <v>#VALUE!</v>
      </c>
      <c r="Z665" s="6"/>
      <c r="AA665" s="6"/>
    </row>
    <row r="666" spans="1:27" ht="28.95" customHeight="1" x14ac:dyDescent="0.3">
      <c r="A666" s="91"/>
      <c r="B666" s="91"/>
      <c r="C666" s="80"/>
      <c r="D666" s="91"/>
      <c r="E666" s="80"/>
      <c r="F666" s="6"/>
      <c r="G666" s="6"/>
      <c r="H666" s="25"/>
      <c r="I666" s="133"/>
      <c r="J666" s="6"/>
      <c r="K666" s="6"/>
      <c r="L666" s="6"/>
      <c r="M666" s="6"/>
      <c r="N666" s="84"/>
      <c r="O666" s="80" t="str">
        <f>IF(N666="","",VLOOKUP(N666,ROLES!B:C,2,FALSE))</f>
        <v/>
      </c>
      <c r="P666" s="15"/>
      <c r="Q666" s="15"/>
      <c r="R666" s="16">
        <f t="shared" si="22"/>
        <v>0</v>
      </c>
      <c r="S666" s="16"/>
      <c r="T666" s="80" t="str">
        <f>IF(S666="","",VLOOKUP(S666,VALORACION!F:G,2,FALSE))</f>
        <v/>
      </c>
      <c r="U666" s="11"/>
      <c r="V666" s="80" t="str">
        <f>IF(U666="","",VLOOKUP(U666,ROLES!G:H,2,FALSE))</f>
        <v/>
      </c>
      <c r="W666" s="11"/>
      <c r="X666" s="80" t="str">
        <f>IF(W666="","",VLOOKUP(W666,ROLES!I:J,2,FALSE))</f>
        <v/>
      </c>
      <c r="Y666" s="95" t="e">
        <f t="shared" si="21"/>
        <v>#VALUE!</v>
      </c>
      <c r="Z666" s="6"/>
      <c r="AA666" s="6"/>
    </row>
    <row r="667" spans="1:27" ht="28.95" customHeight="1" x14ac:dyDescent="0.3">
      <c r="A667" s="91"/>
      <c r="B667" s="91"/>
      <c r="C667" s="80"/>
      <c r="D667" s="91"/>
      <c r="E667" s="80"/>
      <c r="F667" s="6"/>
      <c r="G667" s="6"/>
      <c r="H667" s="25"/>
      <c r="I667" s="133"/>
      <c r="J667" s="6"/>
      <c r="K667" s="6"/>
      <c r="L667" s="6"/>
      <c r="M667" s="6"/>
      <c r="N667" s="84"/>
      <c r="O667" s="80" t="str">
        <f>IF(N667="","",VLOOKUP(N667,ROLES!B:C,2,FALSE))</f>
        <v/>
      </c>
      <c r="P667" s="15"/>
      <c r="Q667" s="15"/>
      <c r="R667" s="16">
        <f t="shared" si="22"/>
        <v>0</v>
      </c>
      <c r="S667" s="16"/>
      <c r="T667" s="80" t="str">
        <f>IF(S667="","",VLOOKUP(S667,VALORACION!F:G,2,FALSE))</f>
        <v/>
      </c>
      <c r="U667" s="11"/>
      <c r="V667" s="80" t="str">
        <f>IF(U667="","",VLOOKUP(U667,ROLES!G:H,2,FALSE))</f>
        <v/>
      </c>
      <c r="W667" s="11"/>
      <c r="X667" s="80" t="str">
        <f>IF(W667="","",VLOOKUP(W667,ROLES!I:J,2,FALSE))</f>
        <v/>
      </c>
      <c r="Y667" s="95" t="e">
        <f t="shared" si="21"/>
        <v>#VALUE!</v>
      </c>
      <c r="Z667" s="6"/>
      <c r="AA667" s="6"/>
    </row>
    <row r="668" spans="1:27" ht="28.95" customHeight="1" x14ac:dyDescent="0.3">
      <c r="A668" s="91"/>
      <c r="B668" s="91"/>
      <c r="C668" s="80"/>
      <c r="D668" s="91"/>
      <c r="E668" s="80"/>
      <c r="F668" s="6"/>
      <c r="G668" s="6"/>
      <c r="H668" s="25"/>
      <c r="I668" s="133"/>
      <c r="J668" s="6"/>
      <c r="K668" s="6"/>
      <c r="L668" s="6"/>
      <c r="M668" s="6"/>
      <c r="N668" s="84"/>
      <c r="O668" s="80" t="str">
        <f>IF(N668="","",VLOOKUP(N668,ROLES!B:C,2,FALSE))</f>
        <v/>
      </c>
      <c r="P668" s="15"/>
      <c r="Q668" s="15"/>
      <c r="R668" s="16">
        <f t="shared" si="22"/>
        <v>0</v>
      </c>
      <c r="S668" s="16"/>
      <c r="T668" s="80" t="str">
        <f>IF(S668="","",VLOOKUP(S668,VALORACION!F:G,2,FALSE))</f>
        <v/>
      </c>
      <c r="U668" s="11"/>
      <c r="V668" s="80" t="str">
        <f>IF(U668="","",VLOOKUP(U668,ROLES!G:H,2,FALSE))</f>
        <v/>
      </c>
      <c r="W668" s="11"/>
      <c r="X668" s="80" t="str">
        <f>IF(W668="","",VLOOKUP(W668,ROLES!I:J,2,FALSE))</f>
        <v/>
      </c>
      <c r="Y668" s="95" t="e">
        <f t="shared" si="21"/>
        <v>#VALUE!</v>
      </c>
      <c r="Z668" s="6"/>
      <c r="AA668" s="6"/>
    </row>
    <row r="669" spans="1:27" ht="28.95" customHeight="1" x14ac:dyDescent="0.3">
      <c r="A669" s="91"/>
      <c r="B669" s="91"/>
      <c r="C669" s="80"/>
      <c r="D669" s="91"/>
      <c r="E669" s="80"/>
      <c r="F669" s="6"/>
      <c r="G669" s="6"/>
      <c r="H669" s="25"/>
      <c r="I669" s="133"/>
      <c r="J669" s="6"/>
      <c r="K669" s="6"/>
      <c r="L669" s="6"/>
      <c r="M669" s="6"/>
      <c r="N669" s="84"/>
      <c r="O669" s="80" t="str">
        <f>IF(N669="","",VLOOKUP(N669,ROLES!B:C,2,FALSE))</f>
        <v/>
      </c>
      <c r="P669" s="15"/>
      <c r="Q669" s="15"/>
      <c r="R669" s="16">
        <f t="shared" si="22"/>
        <v>0</v>
      </c>
      <c r="S669" s="16"/>
      <c r="T669" s="80" t="str">
        <f>IF(S669="","",VLOOKUP(S669,VALORACION!F:G,2,FALSE))</f>
        <v/>
      </c>
      <c r="U669" s="11"/>
      <c r="V669" s="80" t="str">
        <f>IF(U669="","",VLOOKUP(U669,ROLES!G:H,2,FALSE))</f>
        <v/>
      </c>
      <c r="W669" s="11"/>
      <c r="X669" s="80" t="str">
        <f>IF(W669="","",VLOOKUP(W669,ROLES!I:J,2,FALSE))</f>
        <v/>
      </c>
      <c r="Y669" s="95" t="e">
        <f t="shared" si="21"/>
        <v>#VALUE!</v>
      </c>
      <c r="Z669" s="6"/>
      <c r="AA669" s="6"/>
    </row>
    <row r="670" spans="1:27" ht="28.95" customHeight="1" x14ac:dyDescent="0.3">
      <c r="A670" s="91"/>
      <c r="B670" s="91"/>
      <c r="C670" s="80"/>
      <c r="D670" s="91"/>
      <c r="E670" s="80"/>
      <c r="F670" s="6"/>
      <c r="G670" s="6"/>
      <c r="H670" s="25"/>
      <c r="I670" s="133"/>
      <c r="J670" s="6"/>
      <c r="K670" s="6"/>
      <c r="L670" s="6"/>
      <c r="M670" s="6"/>
      <c r="N670" s="84"/>
      <c r="O670" s="80" t="str">
        <f>IF(N670="","",VLOOKUP(N670,ROLES!B:C,2,FALSE))</f>
        <v/>
      </c>
      <c r="P670" s="15"/>
      <c r="Q670" s="15"/>
      <c r="R670" s="16">
        <f t="shared" si="22"/>
        <v>0</v>
      </c>
      <c r="S670" s="16"/>
      <c r="T670" s="80" t="str">
        <f>IF(S670="","",VLOOKUP(S670,VALORACION!F:G,2,FALSE))</f>
        <v/>
      </c>
      <c r="U670" s="11"/>
      <c r="V670" s="80" t="str">
        <f>IF(U670="","",VLOOKUP(U670,ROLES!G:H,2,FALSE))</f>
        <v/>
      </c>
      <c r="W670" s="11"/>
      <c r="X670" s="80" t="str">
        <f>IF(W670="","",VLOOKUP(W670,ROLES!I:J,2,FALSE))</f>
        <v/>
      </c>
      <c r="Y670" s="95" t="e">
        <f t="shared" si="21"/>
        <v>#VALUE!</v>
      </c>
      <c r="Z670" s="6"/>
      <c r="AA670" s="6"/>
    </row>
    <row r="671" spans="1:27" ht="28.95" customHeight="1" x14ac:dyDescent="0.3">
      <c r="A671" s="91"/>
      <c r="B671" s="91"/>
      <c r="C671" s="80"/>
      <c r="D671" s="91"/>
      <c r="E671" s="80"/>
      <c r="F671" s="6"/>
      <c r="G671" s="6"/>
      <c r="H671" s="25"/>
      <c r="I671" s="133"/>
      <c r="J671" s="6"/>
      <c r="K671" s="6"/>
      <c r="L671" s="6"/>
      <c r="M671" s="6"/>
      <c r="N671" s="84"/>
      <c r="O671" s="80" t="str">
        <f>IF(N671="","",VLOOKUP(N671,ROLES!B:C,2,FALSE))</f>
        <v/>
      </c>
      <c r="P671" s="15"/>
      <c r="Q671" s="15"/>
      <c r="R671" s="16">
        <f t="shared" si="22"/>
        <v>0</v>
      </c>
      <c r="S671" s="16"/>
      <c r="T671" s="80" t="str">
        <f>IF(S671="","",VLOOKUP(S671,VALORACION!F:G,2,FALSE))</f>
        <v/>
      </c>
      <c r="U671" s="11"/>
      <c r="V671" s="80" t="str">
        <f>IF(U671="","",VLOOKUP(U671,ROLES!G:H,2,FALSE))</f>
        <v/>
      </c>
      <c r="W671" s="11"/>
      <c r="X671" s="80" t="str">
        <f>IF(W671="","",VLOOKUP(W671,ROLES!I:J,2,FALSE))</f>
        <v/>
      </c>
      <c r="Y671" s="95" t="e">
        <f t="shared" si="21"/>
        <v>#VALUE!</v>
      </c>
      <c r="Z671" s="6"/>
      <c r="AA671" s="6"/>
    </row>
    <row r="672" spans="1:27" ht="28.95" customHeight="1" x14ac:dyDescent="0.3">
      <c r="A672" s="91"/>
      <c r="B672" s="91"/>
      <c r="C672" s="80"/>
      <c r="D672" s="91"/>
      <c r="E672" s="80"/>
      <c r="F672" s="6"/>
      <c r="G672" s="6"/>
      <c r="H672" s="25"/>
      <c r="I672" s="133"/>
      <c r="J672" s="6"/>
      <c r="K672" s="6"/>
      <c r="L672" s="6"/>
      <c r="M672" s="6"/>
      <c r="N672" s="84"/>
      <c r="O672" s="80" t="str">
        <f>IF(N672="","",VLOOKUP(N672,ROLES!B:C,2,FALSE))</f>
        <v/>
      </c>
      <c r="P672" s="15"/>
      <c r="Q672" s="15"/>
      <c r="R672" s="16">
        <f t="shared" si="22"/>
        <v>0</v>
      </c>
      <c r="S672" s="16"/>
      <c r="T672" s="80" t="str">
        <f>IF(S672="","",VLOOKUP(S672,VALORACION!F:G,2,FALSE))</f>
        <v/>
      </c>
      <c r="U672" s="11"/>
      <c r="V672" s="80" t="str">
        <f>IF(U672="","",VLOOKUP(U672,ROLES!G:H,2,FALSE))</f>
        <v/>
      </c>
      <c r="W672" s="11"/>
      <c r="X672" s="80" t="str">
        <f>IF(W672="","",VLOOKUP(W672,ROLES!I:J,2,FALSE))</f>
        <v/>
      </c>
      <c r="Y672" s="95" t="e">
        <f t="shared" si="21"/>
        <v>#VALUE!</v>
      </c>
      <c r="Z672" s="6"/>
      <c r="AA672" s="6"/>
    </row>
    <row r="673" spans="1:27" ht="28.95" customHeight="1" x14ac:dyDescent="0.3">
      <c r="A673" s="91"/>
      <c r="B673" s="91"/>
      <c r="C673" s="80"/>
      <c r="D673" s="91"/>
      <c r="E673" s="80"/>
      <c r="F673" s="6"/>
      <c r="G673" s="6"/>
      <c r="H673" s="25"/>
      <c r="I673" s="133"/>
      <c r="J673" s="6"/>
      <c r="K673" s="6"/>
      <c r="L673" s="6"/>
      <c r="M673" s="6"/>
      <c r="N673" s="84"/>
      <c r="O673" s="80" t="str">
        <f>IF(N673="","",VLOOKUP(N673,ROLES!B:C,2,FALSE))</f>
        <v/>
      </c>
      <c r="P673" s="15"/>
      <c r="Q673" s="15"/>
      <c r="R673" s="16">
        <f t="shared" si="22"/>
        <v>0</v>
      </c>
      <c r="S673" s="16"/>
      <c r="T673" s="80" t="str">
        <f>IF(S673="","",VLOOKUP(S673,VALORACION!F:G,2,FALSE))</f>
        <v/>
      </c>
      <c r="U673" s="11"/>
      <c r="V673" s="80" t="str">
        <f>IF(U673="","",VLOOKUP(U673,ROLES!G:H,2,FALSE))</f>
        <v/>
      </c>
      <c r="W673" s="11"/>
      <c r="X673" s="80" t="str">
        <f>IF(W673="","",VLOOKUP(W673,ROLES!I:J,2,FALSE))</f>
        <v/>
      </c>
      <c r="Y673" s="95" t="e">
        <f t="shared" si="21"/>
        <v>#VALUE!</v>
      </c>
      <c r="Z673" s="6"/>
      <c r="AA673" s="6"/>
    </row>
    <row r="674" spans="1:27" ht="28.95" customHeight="1" x14ac:dyDescent="0.3">
      <c r="A674" s="91"/>
      <c r="B674" s="91"/>
      <c r="C674" s="80"/>
      <c r="D674" s="91"/>
      <c r="E674" s="80"/>
      <c r="F674" s="6"/>
      <c r="G674" s="6"/>
      <c r="H674" s="25"/>
      <c r="I674" s="133"/>
      <c r="J674" s="6"/>
      <c r="K674" s="6"/>
      <c r="L674" s="6"/>
      <c r="M674" s="6"/>
      <c r="N674" s="84"/>
      <c r="O674" s="80" t="str">
        <f>IF(N674="","",VLOOKUP(N674,ROLES!B:C,2,FALSE))</f>
        <v/>
      </c>
      <c r="P674" s="15"/>
      <c r="Q674" s="15"/>
      <c r="R674" s="16">
        <f t="shared" si="22"/>
        <v>0</v>
      </c>
      <c r="S674" s="16"/>
      <c r="T674" s="80" t="str">
        <f>IF(S674="","",VLOOKUP(S674,VALORACION!F:G,2,FALSE))</f>
        <v/>
      </c>
      <c r="U674" s="11"/>
      <c r="V674" s="80" t="str">
        <f>IF(U674="","",VLOOKUP(U674,ROLES!G:H,2,FALSE))</f>
        <v/>
      </c>
      <c r="W674" s="11"/>
      <c r="X674" s="80" t="str">
        <f>IF(W674="","",VLOOKUP(W674,ROLES!I:J,2,FALSE))</f>
        <v/>
      </c>
      <c r="Y674" s="95" t="e">
        <f t="shared" si="21"/>
        <v>#VALUE!</v>
      </c>
      <c r="Z674" s="6"/>
      <c r="AA674" s="6"/>
    </row>
    <row r="675" spans="1:27" ht="28.95" customHeight="1" x14ac:dyDescent="0.3">
      <c r="A675" s="91"/>
      <c r="B675" s="91"/>
      <c r="C675" s="80"/>
      <c r="D675" s="91"/>
      <c r="E675" s="80"/>
      <c r="F675" s="6"/>
      <c r="G675" s="6"/>
      <c r="H675" s="25"/>
      <c r="I675" s="133"/>
      <c r="J675" s="6"/>
      <c r="K675" s="6"/>
      <c r="L675" s="6"/>
      <c r="M675" s="6"/>
      <c r="N675" s="84"/>
      <c r="O675" s="80" t="str">
        <f>IF(N675="","",VLOOKUP(N675,ROLES!B:C,2,FALSE))</f>
        <v/>
      </c>
      <c r="P675" s="15"/>
      <c r="Q675" s="15"/>
      <c r="R675" s="16">
        <f t="shared" si="22"/>
        <v>0</v>
      </c>
      <c r="S675" s="16"/>
      <c r="T675" s="80" t="str">
        <f>IF(S675="","",VLOOKUP(S675,VALORACION!F:G,2,FALSE))</f>
        <v/>
      </c>
      <c r="U675" s="11"/>
      <c r="V675" s="80" t="str">
        <f>IF(U675="","",VLOOKUP(U675,ROLES!G:H,2,FALSE))</f>
        <v/>
      </c>
      <c r="W675" s="11"/>
      <c r="X675" s="80" t="str">
        <f>IF(W675="","",VLOOKUP(W675,ROLES!I:J,2,FALSE))</f>
        <v/>
      </c>
      <c r="Y675" s="95" t="e">
        <f t="shared" si="21"/>
        <v>#VALUE!</v>
      </c>
      <c r="Z675" s="6"/>
      <c r="AA675" s="6"/>
    </row>
    <row r="676" spans="1:27" ht="28.95" customHeight="1" x14ac:dyDescent="0.3">
      <c r="A676" s="91"/>
      <c r="B676" s="91"/>
      <c r="C676" s="80"/>
      <c r="D676" s="91"/>
      <c r="E676" s="80"/>
      <c r="F676" s="6"/>
      <c r="G676" s="6"/>
      <c r="H676" s="25"/>
      <c r="I676" s="133"/>
      <c r="J676" s="6"/>
      <c r="K676" s="6"/>
      <c r="L676" s="6"/>
      <c r="M676" s="6"/>
      <c r="N676" s="84"/>
      <c r="O676" s="80" t="str">
        <f>IF(N676="","",VLOOKUP(N676,ROLES!B:C,2,FALSE))</f>
        <v/>
      </c>
      <c r="P676" s="15"/>
      <c r="Q676" s="15"/>
      <c r="R676" s="16">
        <f t="shared" si="22"/>
        <v>0</v>
      </c>
      <c r="S676" s="16"/>
      <c r="T676" s="80" t="str">
        <f>IF(S676="","",VLOOKUP(S676,VALORACION!F:G,2,FALSE))</f>
        <v/>
      </c>
      <c r="U676" s="11"/>
      <c r="V676" s="80" t="str">
        <f>IF(U676="","",VLOOKUP(U676,ROLES!G:H,2,FALSE))</f>
        <v/>
      </c>
      <c r="W676" s="11"/>
      <c r="X676" s="80" t="str">
        <f>IF(W676="","",VLOOKUP(W676,ROLES!I:J,2,FALSE))</f>
        <v/>
      </c>
      <c r="Y676" s="95" t="e">
        <f t="shared" si="21"/>
        <v>#VALUE!</v>
      </c>
      <c r="Z676" s="6"/>
      <c r="AA676" s="6"/>
    </row>
    <row r="677" spans="1:27" ht="28.95" customHeight="1" x14ac:dyDescent="0.3">
      <c r="A677" s="91"/>
      <c r="B677" s="91"/>
      <c r="C677" s="80"/>
      <c r="D677" s="91"/>
      <c r="E677" s="80"/>
      <c r="F677" s="6"/>
      <c r="G677" s="6"/>
      <c r="H677" s="25"/>
      <c r="I677" s="133"/>
      <c r="J677" s="6"/>
      <c r="K677" s="6"/>
      <c r="L677" s="6"/>
      <c r="M677" s="6"/>
      <c r="N677" s="84"/>
      <c r="O677" s="80" t="str">
        <f>IF(N677="","",VLOOKUP(N677,ROLES!B:C,2,FALSE))</f>
        <v/>
      </c>
      <c r="P677" s="15"/>
      <c r="Q677" s="15"/>
      <c r="R677" s="16">
        <f t="shared" si="22"/>
        <v>0</v>
      </c>
      <c r="S677" s="16"/>
      <c r="T677" s="80" t="str">
        <f>IF(S677="","",VLOOKUP(S677,VALORACION!F:G,2,FALSE))</f>
        <v/>
      </c>
      <c r="U677" s="11"/>
      <c r="V677" s="80" t="str">
        <f>IF(U677="","",VLOOKUP(U677,ROLES!G:H,2,FALSE))</f>
        <v/>
      </c>
      <c r="W677" s="11"/>
      <c r="X677" s="80" t="str">
        <f>IF(W677="","",VLOOKUP(W677,ROLES!I:J,2,FALSE))</f>
        <v/>
      </c>
      <c r="Y677" s="95" t="e">
        <f t="shared" si="21"/>
        <v>#VALUE!</v>
      </c>
      <c r="Z677" s="6"/>
      <c r="AA677" s="6"/>
    </row>
    <row r="678" spans="1:27" ht="28.95" customHeight="1" x14ac:dyDescent="0.3">
      <c r="A678" s="91"/>
      <c r="B678" s="91"/>
      <c r="C678" s="80"/>
      <c r="D678" s="91"/>
      <c r="E678" s="80"/>
      <c r="F678" s="6"/>
      <c r="G678" s="6"/>
      <c r="H678" s="25"/>
      <c r="I678" s="133"/>
      <c r="J678" s="6"/>
      <c r="K678" s="6"/>
      <c r="L678" s="6"/>
      <c r="M678" s="6"/>
      <c r="N678" s="84"/>
      <c r="O678" s="80" t="str">
        <f>IF(N678="","",VLOOKUP(N678,ROLES!B:C,2,FALSE))</f>
        <v/>
      </c>
      <c r="P678" s="15"/>
      <c r="Q678" s="15"/>
      <c r="R678" s="16">
        <f t="shared" si="22"/>
        <v>0</v>
      </c>
      <c r="S678" s="16"/>
      <c r="T678" s="80" t="str">
        <f>IF(S678="","",VLOOKUP(S678,VALORACION!F:G,2,FALSE))</f>
        <v/>
      </c>
      <c r="U678" s="11"/>
      <c r="V678" s="80" t="str">
        <f>IF(U678="","",VLOOKUP(U678,ROLES!G:H,2,FALSE))</f>
        <v/>
      </c>
      <c r="W678" s="11"/>
      <c r="X678" s="80" t="str">
        <f>IF(W678="","",VLOOKUP(W678,ROLES!I:J,2,FALSE))</f>
        <v/>
      </c>
      <c r="Y678" s="95" t="e">
        <f t="shared" si="21"/>
        <v>#VALUE!</v>
      </c>
      <c r="Z678" s="6"/>
      <c r="AA678" s="6"/>
    </row>
    <row r="679" spans="1:27" ht="28.95" customHeight="1" x14ac:dyDescent="0.3">
      <c r="A679" s="91"/>
      <c r="B679" s="91"/>
      <c r="C679" s="80"/>
      <c r="D679" s="91"/>
      <c r="E679" s="80"/>
      <c r="F679" s="6"/>
      <c r="G679" s="6"/>
      <c r="H679" s="25"/>
      <c r="I679" s="133"/>
      <c r="J679" s="6"/>
      <c r="K679" s="6"/>
      <c r="L679" s="6"/>
      <c r="M679" s="6"/>
      <c r="N679" s="84"/>
      <c r="O679" s="80" t="str">
        <f>IF(N679="","",VLOOKUP(N679,ROLES!B:C,2,FALSE))</f>
        <v/>
      </c>
      <c r="P679" s="15"/>
      <c r="Q679" s="15"/>
      <c r="R679" s="16">
        <f t="shared" si="22"/>
        <v>0</v>
      </c>
      <c r="S679" s="16"/>
      <c r="T679" s="80" t="str">
        <f>IF(S679="","",VLOOKUP(S679,VALORACION!F:G,2,FALSE))</f>
        <v/>
      </c>
      <c r="U679" s="11"/>
      <c r="V679" s="80" t="str">
        <f>IF(U679="","",VLOOKUP(U679,ROLES!G:H,2,FALSE))</f>
        <v/>
      </c>
      <c r="W679" s="11"/>
      <c r="X679" s="80" t="str">
        <f>IF(W679="","",VLOOKUP(W679,ROLES!I:J,2,FALSE))</f>
        <v/>
      </c>
      <c r="Y679" s="95" t="e">
        <f t="shared" si="21"/>
        <v>#VALUE!</v>
      </c>
      <c r="Z679" s="6"/>
      <c r="AA679" s="6"/>
    </row>
    <row r="680" spans="1:27" ht="28.95" customHeight="1" x14ac:dyDescent="0.3">
      <c r="A680" s="91"/>
      <c r="B680" s="91"/>
      <c r="C680" s="80"/>
      <c r="D680" s="91"/>
      <c r="E680" s="80"/>
      <c r="F680" s="6"/>
      <c r="G680" s="6"/>
      <c r="H680" s="25"/>
      <c r="I680" s="133"/>
      <c r="J680" s="6"/>
      <c r="K680" s="6"/>
      <c r="L680" s="6"/>
      <c r="M680" s="6"/>
      <c r="N680" s="84"/>
      <c r="O680" s="80" t="str">
        <f>IF(N680="","",VLOOKUP(N680,ROLES!B:C,2,FALSE))</f>
        <v/>
      </c>
      <c r="P680" s="15"/>
      <c r="Q680" s="15"/>
      <c r="R680" s="16">
        <f t="shared" si="22"/>
        <v>0</v>
      </c>
      <c r="S680" s="16"/>
      <c r="T680" s="80" t="str">
        <f>IF(S680="","",VLOOKUP(S680,VALORACION!F:G,2,FALSE))</f>
        <v/>
      </c>
      <c r="U680" s="11"/>
      <c r="V680" s="80" t="str">
        <f>IF(U680="","",VLOOKUP(U680,ROLES!G:H,2,FALSE))</f>
        <v/>
      </c>
      <c r="W680" s="11"/>
      <c r="X680" s="80" t="str">
        <f>IF(W680="","",VLOOKUP(W680,ROLES!I:J,2,FALSE))</f>
        <v/>
      </c>
      <c r="Y680" s="95" t="e">
        <f t="shared" si="21"/>
        <v>#VALUE!</v>
      </c>
      <c r="Z680" s="6"/>
      <c r="AA680" s="6"/>
    </row>
    <row r="681" spans="1:27" ht="28.95" customHeight="1" x14ac:dyDescent="0.3">
      <c r="A681" s="91"/>
      <c r="B681" s="91"/>
      <c r="C681" s="80"/>
      <c r="D681" s="91"/>
      <c r="E681" s="80"/>
      <c r="F681" s="6"/>
      <c r="G681" s="6"/>
      <c r="H681" s="25"/>
      <c r="I681" s="133"/>
      <c r="J681" s="6"/>
      <c r="K681" s="6"/>
      <c r="L681" s="6"/>
      <c r="M681" s="6"/>
      <c r="N681" s="84"/>
      <c r="O681" s="80" t="str">
        <f>IF(N681="","",VLOOKUP(N681,ROLES!B:C,2,FALSE))</f>
        <v/>
      </c>
      <c r="P681" s="15"/>
      <c r="Q681" s="15"/>
      <c r="R681" s="16">
        <f t="shared" si="22"/>
        <v>0</v>
      </c>
      <c r="S681" s="16"/>
      <c r="T681" s="80" t="str">
        <f>IF(S681="","",VLOOKUP(S681,VALORACION!F:G,2,FALSE))</f>
        <v/>
      </c>
      <c r="U681" s="11"/>
      <c r="V681" s="80" t="str">
        <f>IF(U681="","",VLOOKUP(U681,ROLES!G:H,2,FALSE))</f>
        <v/>
      </c>
      <c r="W681" s="11"/>
      <c r="X681" s="80" t="str">
        <f>IF(W681="","",VLOOKUP(W681,ROLES!I:J,2,FALSE))</f>
        <v/>
      </c>
      <c r="Y681" s="95" t="e">
        <f t="shared" si="21"/>
        <v>#VALUE!</v>
      </c>
      <c r="Z681" s="6"/>
      <c r="AA681" s="6"/>
    </row>
    <row r="682" spans="1:27" ht="28.95" customHeight="1" x14ac:dyDescent="0.3">
      <c r="A682" s="91"/>
      <c r="B682" s="91"/>
      <c r="C682" s="80"/>
      <c r="D682" s="91"/>
      <c r="E682" s="80"/>
      <c r="F682" s="6"/>
      <c r="G682" s="6"/>
      <c r="H682" s="25"/>
      <c r="I682" s="133"/>
      <c r="J682" s="6"/>
      <c r="K682" s="6"/>
      <c r="L682" s="6"/>
      <c r="M682" s="6"/>
      <c r="N682" s="84"/>
      <c r="O682" s="80" t="str">
        <f>IF(N682="","",VLOOKUP(N682,ROLES!B:C,2,FALSE))</f>
        <v/>
      </c>
      <c r="P682" s="15"/>
      <c r="Q682" s="15"/>
      <c r="R682" s="16">
        <f t="shared" si="22"/>
        <v>0</v>
      </c>
      <c r="S682" s="16"/>
      <c r="T682" s="80" t="str">
        <f>IF(S682="","",VLOOKUP(S682,VALORACION!F:G,2,FALSE))</f>
        <v/>
      </c>
      <c r="U682" s="11"/>
      <c r="V682" s="80" t="str">
        <f>IF(U682="","",VLOOKUP(U682,ROLES!G:H,2,FALSE))</f>
        <v/>
      </c>
      <c r="W682" s="11"/>
      <c r="X682" s="80" t="str">
        <f>IF(W682="","",VLOOKUP(W682,ROLES!I:J,2,FALSE))</f>
        <v/>
      </c>
      <c r="Y682" s="95" t="e">
        <f t="shared" si="21"/>
        <v>#VALUE!</v>
      </c>
      <c r="Z682" s="6"/>
      <c r="AA682" s="6"/>
    </row>
    <row r="683" spans="1:27" ht="28.95" customHeight="1" x14ac:dyDescent="0.3">
      <c r="A683" s="91"/>
      <c r="B683" s="91"/>
      <c r="C683" s="80"/>
      <c r="D683" s="91"/>
      <c r="E683" s="80"/>
      <c r="F683" s="6"/>
      <c r="G683" s="6"/>
      <c r="H683" s="25"/>
      <c r="I683" s="133"/>
      <c r="J683" s="6"/>
      <c r="K683" s="6"/>
      <c r="L683" s="6"/>
      <c r="M683" s="6"/>
      <c r="N683" s="84"/>
      <c r="O683" s="80" t="str">
        <f>IF(N683="","",VLOOKUP(N683,ROLES!B:C,2,FALSE))</f>
        <v/>
      </c>
      <c r="P683" s="15"/>
      <c r="Q683" s="15"/>
      <c r="R683" s="16">
        <f t="shared" si="22"/>
        <v>0</v>
      </c>
      <c r="S683" s="16"/>
      <c r="T683" s="80" t="str">
        <f>IF(S683="","",VLOOKUP(S683,VALORACION!F:G,2,FALSE))</f>
        <v/>
      </c>
      <c r="U683" s="11"/>
      <c r="V683" s="80" t="str">
        <f>IF(U683="","",VLOOKUP(U683,ROLES!G:H,2,FALSE))</f>
        <v/>
      </c>
      <c r="W683" s="11"/>
      <c r="X683" s="80" t="str">
        <f>IF(W683="","",VLOOKUP(W683,ROLES!I:J,2,FALSE))</f>
        <v/>
      </c>
      <c r="Y683" s="95" t="e">
        <f t="shared" si="21"/>
        <v>#VALUE!</v>
      </c>
      <c r="Z683" s="6"/>
      <c r="AA683" s="6"/>
    </row>
    <row r="684" spans="1:27" ht="28.95" customHeight="1" x14ac:dyDescent="0.3">
      <c r="A684" s="91"/>
      <c r="B684" s="91"/>
      <c r="C684" s="80"/>
      <c r="D684" s="91"/>
      <c r="E684" s="80"/>
      <c r="F684" s="6"/>
      <c r="G684" s="6"/>
      <c r="H684" s="25"/>
      <c r="I684" s="133"/>
      <c r="J684" s="6"/>
      <c r="K684" s="6"/>
      <c r="L684" s="6"/>
      <c r="M684" s="6"/>
      <c r="N684" s="84"/>
      <c r="O684" s="80" t="str">
        <f>IF(N684="","",VLOOKUP(N684,ROLES!B:C,2,FALSE))</f>
        <v/>
      </c>
      <c r="P684" s="15"/>
      <c r="Q684" s="15"/>
      <c r="R684" s="16">
        <f t="shared" si="22"/>
        <v>0</v>
      </c>
      <c r="S684" s="16"/>
      <c r="T684" s="80" t="str">
        <f>IF(S684="","",VLOOKUP(S684,VALORACION!F:G,2,FALSE))</f>
        <v/>
      </c>
      <c r="U684" s="11"/>
      <c r="V684" s="80" t="str">
        <f>IF(U684="","",VLOOKUP(U684,ROLES!G:H,2,FALSE))</f>
        <v/>
      </c>
      <c r="W684" s="11"/>
      <c r="X684" s="80" t="str">
        <f>IF(W684="","",VLOOKUP(W684,ROLES!I:J,2,FALSE))</f>
        <v/>
      </c>
      <c r="Y684" s="95" t="e">
        <f t="shared" si="21"/>
        <v>#VALUE!</v>
      </c>
      <c r="Z684" s="6"/>
      <c r="AA684" s="6"/>
    </row>
    <row r="685" spans="1:27" ht="28.95" customHeight="1" x14ac:dyDescent="0.3">
      <c r="A685" s="91"/>
      <c r="B685" s="91"/>
      <c r="C685" s="80"/>
      <c r="D685" s="91"/>
      <c r="E685" s="80"/>
      <c r="F685" s="6"/>
      <c r="G685" s="6"/>
      <c r="H685" s="25"/>
      <c r="I685" s="133"/>
      <c r="J685" s="6"/>
      <c r="K685" s="6"/>
      <c r="L685" s="6"/>
      <c r="M685" s="6"/>
      <c r="N685" s="84"/>
      <c r="O685" s="80" t="str">
        <f>IF(N685="","",VLOOKUP(N685,ROLES!B:C,2,FALSE))</f>
        <v/>
      </c>
      <c r="P685" s="15"/>
      <c r="Q685" s="15"/>
      <c r="R685" s="16">
        <f t="shared" si="22"/>
        <v>0</v>
      </c>
      <c r="S685" s="16"/>
      <c r="T685" s="80" t="str">
        <f>IF(S685="","",VLOOKUP(S685,VALORACION!F:G,2,FALSE))</f>
        <v/>
      </c>
      <c r="U685" s="11"/>
      <c r="V685" s="80" t="str">
        <f>IF(U685="","",VLOOKUP(U685,ROLES!G:H,2,FALSE))</f>
        <v/>
      </c>
      <c r="W685" s="11"/>
      <c r="X685" s="80" t="str">
        <f>IF(W685="","",VLOOKUP(W685,ROLES!I:J,2,FALSE))</f>
        <v/>
      </c>
      <c r="Y685" s="95" t="e">
        <f t="shared" si="21"/>
        <v>#VALUE!</v>
      </c>
      <c r="Z685" s="6"/>
      <c r="AA685" s="6"/>
    </row>
    <row r="686" spans="1:27" ht="28.95" customHeight="1" x14ac:dyDescent="0.3">
      <c r="A686" s="91"/>
      <c r="B686" s="91"/>
      <c r="C686" s="80"/>
      <c r="D686" s="91"/>
      <c r="E686" s="80"/>
      <c r="F686" s="6"/>
      <c r="G686" s="6"/>
      <c r="H686" s="25"/>
      <c r="I686" s="133"/>
      <c r="J686" s="6"/>
      <c r="K686" s="6"/>
      <c r="L686" s="6"/>
      <c r="M686" s="6"/>
      <c r="N686" s="84"/>
      <c r="O686" s="80" t="str">
        <f>IF(N686="","",VLOOKUP(N686,ROLES!B:C,2,FALSE))</f>
        <v/>
      </c>
      <c r="P686" s="15"/>
      <c r="Q686" s="15"/>
      <c r="R686" s="16">
        <f t="shared" si="22"/>
        <v>0</v>
      </c>
      <c r="S686" s="16"/>
      <c r="T686" s="80" t="str">
        <f>IF(S686="","",VLOOKUP(S686,VALORACION!F:G,2,FALSE))</f>
        <v/>
      </c>
      <c r="U686" s="11"/>
      <c r="V686" s="80" t="str">
        <f>IF(U686="","",VLOOKUP(U686,ROLES!G:H,2,FALSE))</f>
        <v/>
      </c>
      <c r="W686" s="11"/>
      <c r="X686" s="80" t="str">
        <f>IF(W686="","",VLOOKUP(W686,ROLES!I:J,2,FALSE))</f>
        <v/>
      </c>
      <c r="Y686" s="95" t="e">
        <f t="shared" si="21"/>
        <v>#VALUE!</v>
      </c>
      <c r="Z686" s="6"/>
      <c r="AA686" s="6"/>
    </row>
    <row r="687" spans="1:27" ht="28.95" customHeight="1" x14ac:dyDescent="0.3">
      <c r="A687" s="91"/>
      <c r="B687" s="91"/>
      <c r="C687" s="80"/>
      <c r="D687" s="91"/>
      <c r="E687" s="80"/>
      <c r="F687" s="6"/>
      <c r="G687" s="6"/>
      <c r="H687" s="25"/>
      <c r="I687" s="133"/>
      <c r="J687" s="6"/>
      <c r="K687" s="6"/>
      <c r="L687" s="6"/>
      <c r="M687" s="6"/>
      <c r="N687" s="84"/>
      <c r="O687" s="80" t="str">
        <f>IF(N687="","",VLOOKUP(N687,ROLES!B:C,2,FALSE))</f>
        <v/>
      </c>
      <c r="P687" s="15"/>
      <c r="Q687" s="15"/>
      <c r="R687" s="16">
        <f t="shared" si="22"/>
        <v>0</v>
      </c>
      <c r="S687" s="16"/>
      <c r="T687" s="80" t="str">
        <f>IF(S687="","",VLOOKUP(S687,VALORACION!F:G,2,FALSE))</f>
        <v/>
      </c>
      <c r="U687" s="11"/>
      <c r="V687" s="80" t="str">
        <f>IF(U687="","",VLOOKUP(U687,ROLES!G:H,2,FALSE))</f>
        <v/>
      </c>
      <c r="W687" s="11"/>
      <c r="X687" s="80" t="str">
        <f>IF(W687="","",VLOOKUP(W687,ROLES!I:J,2,FALSE))</f>
        <v/>
      </c>
      <c r="Y687" s="95" t="e">
        <f t="shared" si="21"/>
        <v>#VALUE!</v>
      </c>
      <c r="Z687" s="6"/>
      <c r="AA687" s="6"/>
    </row>
    <row r="688" spans="1:27" ht="28.95" customHeight="1" x14ac:dyDescent="0.3">
      <c r="A688" s="91"/>
      <c r="B688" s="91"/>
      <c r="C688" s="80"/>
      <c r="D688" s="91"/>
      <c r="E688" s="80"/>
      <c r="F688" s="6"/>
      <c r="G688" s="6"/>
      <c r="H688" s="25"/>
      <c r="I688" s="133"/>
      <c r="J688" s="6"/>
      <c r="K688" s="6"/>
      <c r="L688" s="6"/>
      <c r="M688" s="6"/>
      <c r="N688" s="84"/>
      <c r="O688" s="80" t="str">
        <f>IF(N688="","",VLOOKUP(N688,ROLES!B:C,2,FALSE))</f>
        <v/>
      </c>
      <c r="P688" s="15"/>
      <c r="Q688" s="15"/>
      <c r="R688" s="16">
        <f t="shared" si="22"/>
        <v>0</v>
      </c>
      <c r="S688" s="16"/>
      <c r="T688" s="80" t="str">
        <f>IF(S688="","",VLOOKUP(S688,VALORACION!F:G,2,FALSE))</f>
        <v/>
      </c>
      <c r="U688" s="11"/>
      <c r="V688" s="80" t="str">
        <f>IF(U688="","",VLOOKUP(U688,ROLES!G:H,2,FALSE))</f>
        <v/>
      </c>
      <c r="W688" s="11"/>
      <c r="X688" s="80" t="str">
        <f>IF(W688="","",VLOOKUP(W688,ROLES!I:J,2,FALSE))</f>
        <v/>
      </c>
      <c r="Y688" s="95" t="e">
        <f t="shared" si="21"/>
        <v>#VALUE!</v>
      </c>
      <c r="Z688" s="6"/>
      <c r="AA688" s="6"/>
    </row>
    <row r="689" spans="1:27" ht="28.95" customHeight="1" x14ac:dyDescent="0.3">
      <c r="A689" s="91"/>
      <c r="B689" s="91"/>
      <c r="C689" s="80"/>
      <c r="D689" s="91"/>
      <c r="E689" s="80"/>
      <c r="F689" s="6"/>
      <c r="G689" s="6"/>
      <c r="H689" s="25"/>
      <c r="I689" s="133"/>
      <c r="J689" s="6"/>
      <c r="K689" s="6"/>
      <c r="L689" s="6"/>
      <c r="M689" s="6"/>
      <c r="N689" s="84"/>
      <c r="O689" s="80" t="str">
        <f>IF(N689="","",VLOOKUP(N689,ROLES!B:C,2,FALSE))</f>
        <v/>
      </c>
      <c r="P689" s="15"/>
      <c r="Q689" s="15"/>
      <c r="R689" s="16">
        <f t="shared" si="22"/>
        <v>0</v>
      </c>
      <c r="S689" s="16"/>
      <c r="T689" s="80" t="str">
        <f>IF(S689="","",VLOOKUP(S689,VALORACION!F:G,2,FALSE))</f>
        <v/>
      </c>
      <c r="U689" s="11"/>
      <c r="V689" s="80" t="str">
        <f>IF(U689="","",VLOOKUP(U689,ROLES!G:H,2,FALSE))</f>
        <v/>
      </c>
      <c r="W689" s="11"/>
      <c r="X689" s="80" t="str">
        <f>IF(W689="","",VLOOKUP(W689,ROLES!I:J,2,FALSE))</f>
        <v/>
      </c>
      <c r="Y689" s="95" t="e">
        <f t="shared" si="21"/>
        <v>#VALUE!</v>
      </c>
      <c r="Z689" s="6"/>
      <c r="AA689" s="6"/>
    </row>
    <row r="690" spans="1:27" ht="28.95" customHeight="1" x14ac:dyDescent="0.3">
      <c r="A690" s="91"/>
      <c r="B690" s="91"/>
      <c r="C690" s="80"/>
      <c r="D690" s="91"/>
      <c r="E690" s="80"/>
      <c r="F690" s="6"/>
      <c r="G690" s="6"/>
      <c r="H690" s="25"/>
      <c r="I690" s="133"/>
      <c r="J690" s="6"/>
      <c r="K690" s="6"/>
      <c r="L690" s="6"/>
      <c r="M690" s="6"/>
      <c r="N690" s="84"/>
      <c r="O690" s="80" t="str">
        <f>IF(N690="","",VLOOKUP(N690,ROLES!B:C,2,FALSE))</f>
        <v/>
      </c>
      <c r="P690" s="15"/>
      <c r="Q690" s="15"/>
      <c r="R690" s="16">
        <f t="shared" si="22"/>
        <v>0</v>
      </c>
      <c r="S690" s="16"/>
      <c r="T690" s="80" t="str">
        <f>IF(S690="","",VLOOKUP(S690,VALORACION!F:G,2,FALSE))</f>
        <v/>
      </c>
      <c r="U690" s="11"/>
      <c r="V690" s="80" t="str">
        <f>IF(U690="","",VLOOKUP(U690,ROLES!G:H,2,FALSE))</f>
        <v/>
      </c>
      <c r="W690" s="11"/>
      <c r="X690" s="80" t="str">
        <f>IF(W690="","",VLOOKUP(W690,ROLES!I:J,2,FALSE))</f>
        <v/>
      </c>
      <c r="Y690" s="95" t="e">
        <f t="shared" si="21"/>
        <v>#VALUE!</v>
      </c>
      <c r="Z690" s="6"/>
      <c r="AA690" s="6"/>
    </row>
    <row r="691" spans="1:27" ht="28.95" customHeight="1" x14ac:dyDescent="0.3">
      <c r="A691" s="91"/>
      <c r="B691" s="91"/>
      <c r="C691" s="80"/>
      <c r="D691" s="91"/>
      <c r="E691" s="80"/>
      <c r="F691" s="6"/>
      <c r="G691" s="6"/>
      <c r="H691" s="25"/>
      <c r="I691" s="133"/>
      <c r="J691" s="6"/>
      <c r="K691" s="6"/>
      <c r="L691" s="6"/>
      <c r="M691" s="6"/>
      <c r="N691" s="84"/>
      <c r="O691" s="80" t="str">
        <f>IF(N691="","",VLOOKUP(N691,ROLES!B:C,2,FALSE))</f>
        <v/>
      </c>
      <c r="P691" s="15"/>
      <c r="Q691" s="15"/>
      <c r="R691" s="16">
        <f t="shared" si="22"/>
        <v>0</v>
      </c>
      <c r="S691" s="16"/>
      <c r="T691" s="80" t="str">
        <f>IF(S691="","",VLOOKUP(S691,VALORACION!F:G,2,FALSE))</f>
        <v/>
      </c>
      <c r="U691" s="11"/>
      <c r="V691" s="80" t="str">
        <f>IF(U691="","",VLOOKUP(U691,ROLES!G:H,2,FALSE))</f>
        <v/>
      </c>
      <c r="W691" s="11"/>
      <c r="X691" s="80" t="str">
        <f>IF(W691="","",VLOOKUP(W691,ROLES!I:J,2,FALSE))</f>
        <v/>
      </c>
      <c r="Y691" s="95" t="e">
        <f t="shared" si="21"/>
        <v>#VALUE!</v>
      </c>
      <c r="Z691" s="6"/>
      <c r="AA691" s="6"/>
    </row>
    <row r="692" spans="1:27" ht="28.95" customHeight="1" x14ac:dyDescent="0.3">
      <c r="A692" s="91"/>
      <c r="B692" s="91"/>
      <c r="C692" s="80"/>
      <c r="D692" s="91"/>
      <c r="E692" s="80"/>
      <c r="F692" s="6"/>
      <c r="G692" s="6"/>
      <c r="H692" s="25"/>
      <c r="I692" s="133"/>
      <c r="J692" s="6"/>
      <c r="K692" s="6"/>
      <c r="L692" s="6"/>
      <c r="M692" s="6"/>
      <c r="N692" s="84"/>
      <c r="O692" s="80" t="str">
        <f>IF(N692="","",VLOOKUP(N692,ROLES!B:C,2,FALSE))</f>
        <v/>
      </c>
      <c r="P692" s="15"/>
      <c r="Q692" s="15"/>
      <c r="R692" s="16">
        <f t="shared" si="22"/>
        <v>0</v>
      </c>
      <c r="S692" s="16"/>
      <c r="T692" s="80" t="str">
        <f>IF(S692="","",VLOOKUP(S692,VALORACION!F:G,2,FALSE))</f>
        <v/>
      </c>
      <c r="U692" s="11"/>
      <c r="V692" s="80" t="str">
        <f>IF(U692="","",VLOOKUP(U692,ROLES!G:H,2,FALSE))</f>
        <v/>
      </c>
      <c r="W692" s="11"/>
      <c r="X692" s="80" t="str">
        <f>IF(W692="","",VLOOKUP(W692,ROLES!I:J,2,FALSE))</f>
        <v/>
      </c>
      <c r="Y692" s="95" t="e">
        <f t="shared" si="21"/>
        <v>#VALUE!</v>
      </c>
      <c r="Z692" s="6"/>
      <c r="AA692" s="6"/>
    </row>
    <row r="693" spans="1:27" ht="28.95" customHeight="1" x14ac:dyDescent="0.3">
      <c r="A693" s="91"/>
      <c r="B693" s="91"/>
      <c r="C693" s="80"/>
      <c r="D693" s="91"/>
      <c r="E693" s="80"/>
      <c r="F693" s="6"/>
      <c r="G693" s="6"/>
      <c r="H693" s="25"/>
      <c r="I693" s="133"/>
      <c r="J693" s="6"/>
      <c r="K693" s="6"/>
      <c r="L693" s="6"/>
      <c r="M693" s="6"/>
      <c r="N693" s="84"/>
      <c r="O693" s="80" t="str">
        <f>IF(N693="","",VLOOKUP(N693,ROLES!B:C,2,FALSE))</f>
        <v/>
      </c>
      <c r="P693" s="15"/>
      <c r="Q693" s="15"/>
      <c r="R693" s="16">
        <f t="shared" si="22"/>
        <v>0</v>
      </c>
      <c r="S693" s="16"/>
      <c r="T693" s="80" t="str">
        <f>IF(S693="","",VLOOKUP(S693,VALORACION!F:G,2,FALSE))</f>
        <v/>
      </c>
      <c r="U693" s="11"/>
      <c r="V693" s="80" t="str">
        <f>IF(U693="","",VLOOKUP(U693,ROLES!G:H,2,FALSE))</f>
        <v/>
      </c>
      <c r="W693" s="11"/>
      <c r="X693" s="80" t="str">
        <f>IF(W693="","",VLOOKUP(W693,ROLES!I:J,2,FALSE))</f>
        <v/>
      </c>
      <c r="Y693" s="95" t="e">
        <f t="shared" si="21"/>
        <v>#VALUE!</v>
      </c>
      <c r="Z693" s="6"/>
      <c r="AA693" s="6"/>
    </row>
    <row r="694" spans="1:27" ht="28.95" customHeight="1" x14ac:dyDescent="0.3">
      <c r="A694" s="91"/>
      <c r="B694" s="91"/>
      <c r="C694" s="80"/>
      <c r="D694" s="91"/>
      <c r="E694" s="80"/>
      <c r="F694" s="6"/>
      <c r="G694" s="6"/>
      <c r="H694" s="25"/>
      <c r="I694" s="133"/>
      <c r="J694" s="6"/>
      <c r="K694" s="6"/>
      <c r="L694" s="6"/>
      <c r="M694" s="6"/>
      <c r="N694" s="84"/>
      <c r="O694" s="80" t="str">
        <f>IF(N694="","",VLOOKUP(N694,ROLES!B:C,2,FALSE))</f>
        <v/>
      </c>
      <c r="P694" s="15"/>
      <c r="Q694" s="15"/>
      <c r="R694" s="16">
        <f t="shared" si="22"/>
        <v>0</v>
      </c>
      <c r="S694" s="16"/>
      <c r="T694" s="80" t="str">
        <f>IF(S694="","",VLOOKUP(S694,VALORACION!F:G,2,FALSE))</f>
        <v/>
      </c>
      <c r="U694" s="11"/>
      <c r="V694" s="80" t="str">
        <f>IF(U694="","",VLOOKUP(U694,ROLES!G:H,2,FALSE))</f>
        <v/>
      </c>
      <c r="W694" s="11"/>
      <c r="X694" s="80" t="str">
        <f>IF(W694="","",VLOOKUP(W694,ROLES!I:J,2,FALSE))</f>
        <v/>
      </c>
      <c r="Y694" s="95" t="e">
        <f t="shared" si="21"/>
        <v>#VALUE!</v>
      </c>
      <c r="Z694" s="6"/>
      <c r="AA694" s="6"/>
    </row>
    <row r="695" spans="1:27" ht="28.95" customHeight="1" x14ac:dyDescent="0.3">
      <c r="A695" s="91"/>
      <c r="B695" s="91"/>
      <c r="C695" s="80"/>
      <c r="D695" s="91"/>
      <c r="E695" s="80"/>
      <c r="F695" s="6"/>
      <c r="G695" s="6"/>
      <c r="H695" s="25"/>
      <c r="I695" s="133"/>
      <c r="J695" s="6"/>
      <c r="K695" s="6"/>
      <c r="L695" s="6"/>
      <c r="M695" s="6"/>
      <c r="N695" s="84"/>
      <c r="O695" s="80" t="str">
        <f>IF(N695="","",VLOOKUP(N695,ROLES!B:C,2,FALSE))</f>
        <v/>
      </c>
      <c r="P695" s="15"/>
      <c r="Q695" s="15"/>
      <c r="R695" s="16">
        <f t="shared" si="22"/>
        <v>0</v>
      </c>
      <c r="S695" s="16"/>
      <c r="T695" s="80" t="str">
        <f>IF(S695="","",VLOOKUP(S695,VALORACION!F:G,2,FALSE))</f>
        <v/>
      </c>
      <c r="U695" s="11"/>
      <c r="V695" s="80" t="str">
        <f>IF(U695="","",VLOOKUP(U695,ROLES!G:H,2,FALSE))</f>
        <v/>
      </c>
      <c r="W695" s="11"/>
      <c r="X695" s="80" t="str">
        <f>IF(W695="","",VLOOKUP(W695,ROLES!I:J,2,FALSE))</f>
        <v/>
      </c>
      <c r="Y695" s="95" t="e">
        <f t="shared" si="21"/>
        <v>#VALUE!</v>
      </c>
      <c r="Z695" s="6"/>
      <c r="AA695" s="6"/>
    </row>
    <row r="696" spans="1:27" ht="28.95" customHeight="1" x14ac:dyDescent="0.3">
      <c r="A696" s="91"/>
      <c r="B696" s="91"/>
      <c r="C696" s="80"/>
      <c r="D696" s="91"/>
      <c r="E696" s="80"/>
      <c r="F696" s="6"/>
      <c r="G696" s="6"/>
      <c r="H696" s="25"/>
      <c r="I696" s="133"/>
      <c r="J696" s="6"/>
      <c r="K696" s="6"/>
      <c r="L696" s="6"/>
      <c r="M696" s="6"/>
      <c r="N696" s="84"/>
      <c r="O696" s="80" t="str">
        <f>IF(N696="","",VLOOKUP(N696,ROLES!B:C,2,FALSE))</f>
        <v/>
      </c>
      <c r="P696" s="15"/>
      <c r="Q696" s="15"/>
      <c r="R696" s="16">
        <f t="shared" si="22"/>
        <v>0</v>
      </c>
      <c r="S696" s="16"/>
      <c r="T696" s="80" t="str">
        <f>IF(S696="","",VLOOKUP(S696,VALORACION!F:G,2,FALSE))</f>
        <v/>
      </c>
      <c r="U696" s="11"/>
      <c r="V696" s="80" t="str">
        <f>IF(U696="","",VLOOKUP(U696,ROLES!G:H,2,FALSE))</f>
        <v/>
      </c>
      <c r="W696" s="11"/>
      <c r="X696" s="80" t="str">
        <f>IF(W696="","",VLOOKUP(W696,ROLES!I:J,2,FALSE))</f>
        <v/>
      </c>
      <c r="Y696" s="95" t="e">
        <f t="shared" si="21"/>
        <v>#VALUE!</v>
      </c>
      <c r="Z696" s="6"/>
      <c r="AA696" s="6"/>
    </row>
    <row r="697" spans="1:27" ht="28.95" customHeight="1" x14ac:dyDescent="0.3">
      <c r="A697" s="91"/>
      <c r="B697" s="91"/>
      <c r="C697" s="80"/>
      <c r="D697" s="91"/>
      <c r="E697" s="80"/>
      <c r="F697" s="6"/>
      <c r="G697" s="6"/>
      <c r="H697" s="25"/>
      <c r="I697" s="133"/>
      <c r="J697" s="6"/>
      <c r="K697" s="6"/>
      <c r="L697" s="6"/>
      <c r="M697" s="6"/>
      <c r="N697" s="84"/>
      <c r="O697" s="80" t="str">
        <f>IF(N697="","",VLOOKUP(N697,ROLES!B:C,2,FALSE))</f>
        <v/>
      </c>
      <c r="P697" s="15"/>
      <c r="Q697" s="15"/>
      <c r="R697" s="16">
        <f t="shared" si="22"/>
        <v>0</v>
      </c>
      <c r="S697" s="16"/>
      <c r="T697" s="80" t="str">
        <f>IF(S697="","",VLOOKUP(S697,VALORACION!F:G,2,FALSE))</f>
        <v/>
      </c>
      <c r="U697" s="11"/>
      <c r="V697" s="80" t="str">
        <f>IF(U697="","",VLOOKUP(U697,ROLES!G:H,2,FALSE))</f>
        <v/>
      </c>
      <c r="W697" s="11"/>
      <c r="X697" s="80" t="str">
        <f>IF(W697="","",VLOOKUP(W697,ROLES!I:J,2,FALSE))</f>
        <v/>
      </c>
      <c r="Y697" s="95" t="e">
        <f t="shared" si="21"/>
        <v>#VALUE!</v>
      </c>
      <c r="Z697" s="6"/>
      <c r="AA697" s="6"/>
    </row>
    <row r="698" spans="1:27" ht="28.95" customHeight="1" x14ac:dyDescent="0.3">
      <c r="A698" s="91"/>
      <c r="B698" s="91"/>
      <c r="C698" s="80"/>
      <c r="D698" s="91"/>
      <c r="E698" s="80"/>
      <c r="F698" s="6"/>
      <c r="G698" s="6"/>
      <c r="H698" s="25"/>
      <c r="I698" s="133"/>
      <c r="J698" s="6"/>
      <c r="K698" s="6"/>
      <c r="L698" s="6"/>
      <c r="M698" s="6"/>
      <c r="N698" s="84"/>
      <c r="O698" s="80" t="str">
        <f>IF(N698="","",VLOOKUP(N698,ROLES!B:C,2,FALSE))</f>
        <v/>
      </c>
      <c r="P698" s="15"/>
      <c r="Q698" s="15"/>
      <c r="R698" s="16">
        <f t="shared" si="22"/>
        <v>0</v>
      </c>
      <c r="S698" s="16"/>
      <c r="T698" s="80" t="str">
        <f>IF(S698="","",VLOOKUP(S698,VALORACION!F:G,2,FALSE))</f>
        <v/>
      </c>
      <c r="U698" s="11"/>
      <c r="V698" s="80" t="str">
        <f>IF(U698="","",VLOOKUP(U698,ROLES!G:H,2,FALSE))</f>
        <v/>
      </c>
      <c r="W698" s="11"/>
      <c r="X698" s="80" t="str">
        <f>IF(W698="","",VLOOKUP(W698,ROLES!I:J,2,FALSE))</f>
        <v/>
      </c>
      <c r="Y698" s="95" t="e">
        <f t="shared" si="21"/>
        <v>#VALUE!</v>
      </c>
      <c r="Z698" s="6"/>
      <c r="AA698" s="6"/>
    </row>
    <row r="699" spans="1:27" ht="28.95" customHeight="1" x14ac:dyDescent="0.3">
      <c r="A699" s="91"/>
      <c r="B699" s="91"/>
      <c r="C699" s="80"/>
      <c r="D699" s="91"/>
      <c r="E699" s="80"/>
      <c r="F699" s="6"/>
      <c r="G699" s="6"/>
      <c r="H699" s="25"/>
      <c r="I699" s="133"/>
      <c r="J699" s="6"/>
      <c r="K699" s="6"/>
      <c r="L699" s="6"/>
      <c r="M699" s="6"/>
      <c r="N699" s="84"/>
      <c r="O699" s="80" t="str">
        <f>IF(N699="","",VLOOKUP(N699,ROLES!B:C,2,FALSE))</f>
        <v/>
      </c>
      <c r="P699" s="15"/>
      <c r="Q699" s="15"/>
      <c r="R699" s="16">
        <f t="shared" si="22"/>
        <v>0</v>
      </c>
      <c r="S699" s="16"/>
      <c r="T699" s="80" t="str">
        <f>IF(S699="","",VLOOKUP(S699,VALORACION!F:G,2,FALSE))</f>
        <v/>
      </c>
      <c r="U699" s="11"/>
      <c r="V699" s="80" t="str">
        <f>IF(U699="","",VLOOKUP(U699,ROLES!G:H,2,FALSE))</f>
        <v/>
      </c>
      <c r="W699" s="11"/>
      <c r="X699" s="80" t="str">
        <f>IF(W699="","",VLOOKUP(W699,ROLES!I:J,2,FALSE))</f>
        <v/>
      </c>
      <c r="Y699" s="95" t="e">
        <f t="shared" si="21"/>
        <v>#VALUE!</v>
      </c>
      <c r="Z699" s="6"/>
      <c r="AA699" s="6"/>
    </row>
    <row r="700" spans="1:27" ht="28.95" customHeight="1" x14ac:dyDescent="0.3">
      <c r="A700" s="91"/>
      <c r="B700" s="91"/>
      <c r="C700" s="80"/>
      <c r="D700" s="91"/>
      <c r="E700" s="80"/>
      <c r="F700" s="6"/>
      <c r="G700" s="6"/>
      <c r="H700" s="25"/>
      <c r="I700" s="133"/>
      <c r="J700" s="6"/>
      <c r="K700" s="6"/>
      <c r="L700" s="6"/>
      <c r="M700" s="6"/>
      <c r="N700" s="84"/>
      <c r="O700" s="80" t="str">
        <f>IF(N700="","",VLOOKUP(N700,ROLES!B:C,2,FALSE))</f>
        <v/>
      </c>
      <c r="P700" s="15"/>
      <c r="Q700" s="15"/>
      <c r="R700" s="16">
        <f t="shared" si="22"/>
        <v>0</v>
      </c>
      <c r="S700" s="16"/>
      <c r="T700" s="80" t="str">
        <f>IF(S700="","",VLOOKUP(S700,VALORACION!F:G,2,FALSE))</f>
        <v/>
      </c>
      <c r="U700" s="11"/>
      <c r="V700" s="80" t="str">
        <f>IF(U700="","",VLOOKUP(U700,ROLES!G:H,2,FALSE))</f>
        <v/>
      </c>
      <c r="W700" s="11"/>
      <c r="X700" s="80" t="str">
        <f>IF(W700="","",VLOOKUP(W700,ROLES!I:J,2,FALSE))</f>
        <v/>
      </c>
      <c r="Y700" s="95" t="e">
        <f t="shared" si="21"/>
        <v>#VALUE!</v>
      </c>
      <c r="Z700" s="6"/>
      <c r="AA700" s="6"/>
    </row>
    <row r="701" spans="1:27" ht="28.95" customHeight="1" x14ac:dyDescent="0.3">
      <c r="A701" s="91"/>
      <c r="B701" s="91"/>
      <c r="C701" s="80"/>
      <c r="D701" s="91"/>
      <c r="E701" s="80"/>
      <c r="F701" s="6"/>
      <c r="G701" s="6"/>
      <c r="H701" s="25"/>
      <c r="I701" s="133"/>
      <c r="J701" s="6"/>
      <c r="K701" s="6"/>
      <c r="L701" s="6"/>
      <c r="M701" s="6"/>
      <c r="N701" s="84"/>
      <c r="O701" s="80" t="str">
        <f>IF(N701="","",VLOOKUP(N701,ROLES!B:C,2,FALSE))</f>
        <v/>
      </c>
      <c r="P701" s="15"/>
      <c r="Q701" s="15"/>
      <c r="R701" s="16">
        <f t="shared" si="22"/>
        <v>0</v>
      </c>
      <c r="S701" s="16"/>
      <c r="T701" s="80" t="str">
        <f>IF(S701="","",VLOOKUP(S701,VALORACION!F:G,2,FALSE))</f>
        <v/>
      </c>
      <c r="U701" s="11"/>
      <c r="V701" s="80" t="str">
        <f>IF(U701="","",VLOOKUP(U701,ROLES!G:H,2,FALSE))</f>
        <v/>
      </c>
      <c r="W701" s="11"/>
      <c r="X701" s="80" t="str">
        <f>IF(W701="","",VLOOKUP(W701,ROLES!I:J,2,FALSE))</f>
        <v/>
      </c>
      <c r="Y701" s="95" t="e">
        <f t="shared" si="21"/>
        <v>#VALUE!</v>
      </c>
      <c r="Z701" s="6"/>
      <c r="AA701" s="6"/>
    </row>
    <row r="702" spans="1:27" ht="28.95" customHeight="1" x14ac:dyDescent="0.3">
      <c r="A702" s="91"/>
      <c r="B702" s="91"/>
      <c r="C702" s="80"/>
      <c r="D702" s="91"/>
      <c r="E702" s="80"/>
      <c r="F702" s="6"/>
      <c r="G702" s="6"/>
      <c r="H702" s="25"/>
      <c r="I702" s="133"/>
      <c r="J702" s="6"/>
      <c r="K702" s="6"/>
      <c r="L702" s="6"/>
      <c r="M702" s="6"/>
      <c r="N702" s="84"/>
      <c r="O702" s="80" t="str">
        <f>IF(N702="","",VLOOKUP(N702,ROLES!B:C,2,FALSE))</f>
        <v/>
      </c>
      <c r="P702" s="15"/>
      <c r="Q702" s="15"/>
      <c r="R702" s="16">
        <f t="shared" si="22"/>
        <v>0</v>
      </c>
      <c r="S702" s="16"/>
      <c r="T702" s="80" t="str">
        <f>IF(S702="","",VLOOKUP(S702,VALORACION!F:G,2,FALSE))</f>
        <v/>
      </c>
      <c r="U702" s="11"/>
      <c r="V702" s="80" t="str">
        <f>IF(U702="","",VLOOKUP(U702,ROLES!G:H,2,FALSE))</f>
        <v/>
      </c>
      <c r="W702" s="11"/>
      <c r="X702" s="80" t="str">
        <f>IF(W702="","",VLOOKUP(W702,ROLES!I:J,2,FALSE))</f>
        <v/>
      </c>
      <c r="Y702" s="95" t="e">
        <f t="shared" si="21"/>
        <v>#VALUE!</v>
      </c>
      <c r="Z702" s="6"/>
      <c r="AA702" s="6"/>
    </row>
    <row r="703" spans="1:27" ht="28.95" customHeight="1" x14ac:dyDescent="0.3">
      <c r="A703" s="91"/>
      <c r="B703" s="91"/>
      <c r="C703" s="80"/>
      <c r="D703" s="91"/>
      <c r="E703" s="80"/>
      <c r="F703" s="6"/>
      <c r="G703" s="6"/>
      <c r="H703" s="25"/>
      <c r="I703" s="133"/>
      <c r="J703" s="6"/>
      <c r="K703" s="6"/>
      <c r="L703" s="6"/>
      <c r="M703" s="6"/>
      <c r="N703" s="84"/>
      <c r="O703" s="80" t="str">
        <f>IF(N703="","",VLOOKUP(N703,ROLES!B:C,2,FALSE))</f>
        <v/>
      </c>
      <c r="P703" s="15"/>
      <c r="Q703" s="15"/>
      <c r="R703" s="16">
        <f t="shared" si="22"/>
        <v>0</v>
      </c>
      <c r="S703" s="16"/>
      <c r="T703" s="80" t="str">
        <f>IF(S703="","",VLOOKUP(S703,VALORACION!F:G,2,FALSE))</f>
        <v/>
      </c>
      <c r="U703" s="11"/>
      <c r="V703" s="80" t="str">
        <f>IF(U703="","",VLOOKUP(U703,ROLES!G:H,2,FALSE))</f>
        <v/>
      </c>
      <c r="W703" s="11"/>
      <c r="X703" s="80" t="str">
        <f>IF(W703="","",VLOOKUP(W703,ROLES!I:J,2,FALSE))</f>
        <v/>
      </c>
      <c r="Y703" s="95" t="e">
        <f t="shared" si="21"/>
        <v>#VALUE!</v>
      </c>
      <c r="Z703" s="6"/>
      <c r="AA703" s="6"/>
    </row>
    <row r="704" spans="1:27" ht="28.95" customHeight="1" x14ac:dyDescent="0.3">
      <c r="A704" s="91"/>
      <c r="B704" s="91"/>
      <c r="C704" s="80"/>
      <c r="D704" s="91"/>
      <c r="E704" s="80"/>
      <c r="F704" s="6"/>
      <c r="G704" s="6"/>
      <c r="H704" s="25"/>
      <c r="I704" s="133"/>
      <c r="J704" s="6"/>
      <c r="K704" s="6"/>
      <c r="L704" s="6"/>
      <c r="M704" s="6"/>
      <c r="N704" s="84"/>
      <c r="O704" s="80" t="str">
        <f>IF(N704="","",VLOOKUP(N704,ROLES!B:C,2,FALSE))</f>
        <v/>
      </c>
      <c r="P704" s="15"/>
      <c r="Q704" s="15"/>
      <c r="R704" s="16">
        <f t="shared" si="22"/>
        <v>0</v>
      </c>
      <c r="S704" s="16"/>
      <c r="T704" s="80" t="str">
        <f>IF(S704="","",VLOOKUP(S704,VALORACION!F:G,2,FALSE))</f>
        <v/>
      </c>
      <c r="U704" s="11"/>
      <c r="V704" s="80" t="str">
        <f>IF(U704="","",VLOOKUP(U704,ROLES!G:H,2,FALSE))</f>
        <v/>
      </c>
      <c r="W704" s="11"/>
      <c r="X704" s="80" t="str">
        <f>IF(W704="","",VLOOKUP(W704,ROLES!I:J,2,FALSE))</f>
        <v/>
      </c>
      <c r="Y704" s="95" t="e">
        <f t="shared" si="21"/>
        <v>#VALUE!</v>
      </c>
      <c r="Z704" s="6"/>
      <c r="AA704" s="6"/>
    </row>
    <row r="705" spans="1:27" ht="28.95" customHeight="1" x14ac:dyDescent="0.3">
      <c r="A705" s="91"/>
      <c r="B705" s="91"/>
      <c r="C705" s="80"/>
      <c r="D705" s="91"/>
      <c r="E705" s="80"/>
      <c r="F705" s="6"/>
      <c r="G705" s="6"/>
      <c r="H705" s="25"/>
      <c r="I705" s="133"/>
      <c r="J705" s="6"/>
      <c r="K705" s="6"/>
      <c r="L705" s="6"/>
      <c r="M705" s="6"/>
      <c r="N705" s="84"/>
      <c r="O705" s="80" t="str">
        <f>IF(N705="","",VLOOKUP(N705,ROLES!B:C,2,FALSE))</f>
        <v/>
      </c>
      <c r="P705" s="15"/>
      <c r="Q705" s="15"/>
      <c r="R705" s="16">
        <f t="shared" si="22"/>
        <v>0</v>
      </c>
      <c r="S705" s="16"/>
      <c r="T705" s="80" t="str">
        <f>IF(S705="","",VLOOKUP(S705,VALORACION!F:G,2,FALSE))</f>
        <v/>
      </c>
      <c r="U705" s="11"/>
      <c r="V705" s="80" t="str">
        <f>IF(U705="","",VLOOKUP(U705,ROLES!G:H,2,FALSE))</f>
        <v/>
      </c>
      <c r="W705" s="11"/>
      <c r="X705" s="80" t="str">
        <f>IF(W705="","",VLOOKUP(W705,ROLES!I:J,2,FALSE))</f>
        <v/>
      </c>
      <c r="Y705" s="95" t="e">
        <f t="shared" si="21"/>
        <v>#VALUE!</v>
      </c>
      <c r="Z705" s="6"/>
      <c r="AA705" s="6"/>
    </row>
    <row r="706" spans="1:27" ht="28.95" customHeight="1" x14ac:dyDescent="0.3">
      <c r="A706" s="91"/>
      <c r="B706" s="91"/>
      <c r="C706" s="80"/>
      <c r="D706" s="91"/>
      <c r="E706" s="80"/>
      <c r="F706" s="6"/>
      <c r="G706" s="6"/>
      <c r="H706" s="25"/>
      <c r="I706" s="133"/>
      <c r="J706" s="6"/>
      <c r="K706" s="6"/>
      <c r="L706" s="6"/>
      <c r="M706" s="6"/>
      <c r="N706" s="84"/>
      <c r="O706" s="80" t="str">
        <f>IF(N706="","",VLOOKUP(N706,ROLES!B:C,2,FALSE))</f>
        <v/>
      </c>
      <c r="P706" s="15"/>
      <c r="Q706" s="15"/>
      <c r="R706" s="16">
        <f t="shared" si="22"/>
        <v>0</v>
      </c>
      <c r="S706" s="16"/>
      <c r="T706" s="80" t="str">
        <f>IF(S706="","",VLOOKUP(S706,VALORACION!F:G,2,FALSE))</f>
        <v/>
      </c>
      <c r="U706" s="11"/>
      <c r="V706" s="80" t="str">
        <f>IF(U706="","",VLOOKUP(U706,ROLES!G:H,2,FALSE))</f>
        <v/>
      </c>
      <c r="W706" s="11"/>
      <c r="X706" s="80" t="str">
        <f>IF(W706="","",VLOOKUP(W706,ROLES!I:J,2,FALSE))</f>
        <v/>
      </c>
      <c r="Y706" s="95" t="e">
        <f t="shared" si="21"/>
        <v>#VALUE!</v>
      </c>
      <c r="Z706" s="6"/>
      <c r="AA706" s="6"/>
    </row>
    <row r="707" spans="1:27" ht="28.95" customHeight="1" x14ac:dyDescent="0.3">
      <c r="A707" s="91"/>
      <c r="B707" s="91"/>
      <c r="C707" s="80"/>
      <c r="D707" s="91"/>
      <c r="E707" s="80"/>
      <c r="F707" s="6"/>
      <c r="G707" s="6"/>
      <c r="H707" s="25"/>
      <c r="I707" s="133"/>
      <c r="J707" s="6"/>
      <c r="K707" s="6"/>
      <c r="L707" s="6"/>
      <c r="M707" s="6"/>
      <c r="N707" s="84"/>
      <c r="O707" s="80" t="str">
        <f>IF(N707="","",VLOOKUP(N707,ROLES!B:C,2,FALSE))</f>
        <v/>
      </c>
      <c r="P707" s="15"/>
      <c r="Q707" s="15"/>
      <c r="R707" s="16">
        <f t="shared" si="22"/>
        <v>0</v>
      </c>
      <c r="S707" s="16"/>
      <c r="T707" s="80" t="str">
        <f>IF(S707="","",VLOOKUP(S707,VALORACION!F:G,2,FALSE))</f>
        <v/>
      </c>
      <c r="U707" s="11"/>
      <c r="V707" s="80" t="str">
        <f>IF(U707="","",VLOOKUP(U707,ROLES!G:H,2,FALSE))</f>
        <v/>
      </c>
      <c r="W707" s="11"/>
      <c r="X707" s="80" t="str">
        <f>IF(W707="","",VLOOKUP(W707,ROLES!I:J,2,FALSE))</f>
        <v/>
      </c>
      <c r="Y707" s="95" t="e">
        <f t="shared" si="21"/>
        <v>#VALUE!</v>
      </c>
      <c r="Z707" s="6"/>
      <c r="AA707" s="6"/>
    </row>
    <row r="708" spans="1:27" ht="28.95" customHeight="1" x14ac:dyDescent="0.3">
      <c r="A708" s="91"/>
      <c r="B708" s="91"/>
      <c r="C708" s="80"/>
      <c r="D708" s="91"/>
      <c r="E708" s="80"/>
      <c r="F708" s="6"/>
      <c r="G708" s="6"/>
      <c r="H708" s="25"/>
      <c r="I708" s="133"/>
      <c r="J708" s="6"/>
      <c r="K708" s="6"/>
      <c r="L708" s="6"/>
      <c r="M708" s="6"/>
      <c r="N708" s="84"/>
      <c r="O708" s="80" t="str">
        <f>IF(N708="","",VLOOKUP(N708,ROLES!B:C,2,FALSE))</f>
        <v/>
      </c>
      <c r="P708" s="15"/>
      <c r="Q708" s="15"/>
      <c r="R708" s="16">
        <f t="shared" si="22"/>
        <v>0</v>
      </c>
      <c r="S708" s="16"/>
      <c r="T708" s="80" t="str">
        <f>IF(S708="","",VLOOKUP(S708,VALORACION!F:G,2,FALSE))</f>
        <v/>
      </c>
      <c r="U708" s="11"/>
      <c r="V708" s="80" t="str">
        <f>IF(U708="","",VLOOKUP(U708,ROLES!G:H,2,FALSE))</f>
        <v/>
      </c>
      <c r="W708" s="11"/>
      <c r="X708" s="80" t="str">
        <f>IF(W708="","",VLOOKUP(W708,ROLES!I:J,2,FALSE))</f>
        <v/>
      </c>
      <c r="Y708" s="95" t="e">
        <f t="shared" si="21"/>
        <v>#VALUE!</v>
      </c>
      <c r="Z708" s="6"/>
      <c r="AA708" s="6"/>
    </row>
    <row r="709" spans="1:27" ht="28.95" customHeight="1" x14ac:dyDescent="0.3">
      <c r="A709" s="91"/>
      <c r="B709" s="91"/>
      <c r="C709" s="80"/>
      <c r="D709" s="91"/>
      <c r="E709" s="80"/>
      <c r="F709" s="6"/>
      <c r="G709" s="6"/>
      <c r="H709" s="25"/>
      <c r="I709" s="133"/>
      <c r="J709" s="6"/>
      <c r="K709" s="6"/>
      <c r="L709" s="6"/>
      <c r="M709" s="6"/>
      <c r="N709" s="84"/>
      <c r="O709" s="80" t="str">
        <f>IF(N709="","",VLOOKUP(N709,ROLES!B:C,2,FALSE))</f>
        <v/>
      </c>
      <c r="P709" s="15"/>
      <c r="Q709" s="15"/>
      <c r="R709" s="16">
        <f t="shared" si="22"/>
        <v>0</v>
      </c>
      <c r="S709" s="16"/>
      <c r="T709" s="80" t="str">
        <f>IF(S709="","",VLOOKUP(S709,VALORACION!F:G,2,FALSE))</f>
        <v/>
      </c>
      <c r="U709" s="11"/>
      <c r="V709" s="80" t="str">
        <f>IF(U709="","",VLOOKUP(U709,ROLES!G:H,2,FALSE))</f>
        <v/>
      </c>
      <c r="W709" s="11"/>
      <c r="X709" s="80" t="str">
        <f>IF(W709="","",VLOOKUP(W709,ROLES!I:J,2,FALSE))</f>
        <v/>
      </c>
      <c r="Y709" s="95" t="e">
        <f t="shared" ref="Y709:Y772" si="23">(VALUE(O709)+VALUE(V709)+VALUE(X709)+VALUE(T709))/3</f>
        <v>#VALUE!</v>
      </c>
      <c r="Z709" s="6"/>
      <c r="AA709" s="6"/>
    </row>
    <row r="710" spans="1:27" ht="28.95" customHeight="1" x14ac:dyDescent="0.3">
      <c r="A710" s="91"/>
      <c r="B710" s="91"/>
      <c r="C710" s="80"/>
      <c r="D710" s="91"/>
      <c r="E710" s="80"/>
      <c r="F710" s="6"/>
      <c r="G710" s="6"/>
      <c r="H710" s="25"/>
      <c r="I710" s="133"/>
      <c r="J710" s="6"/>
      <c r="K710" s="6"/>
      <c r="L710" s="6"/>
      <c r="M710" s="6"/>
      <c r="N710" s="84"/>
      <c r="O710" s="80" t="str">
        <f>IF(N710="","",VLOOKUP(N710,ROLES!B:C,2,FALSE))</f>
        <v/>
      </c>
      <c r="P710" s="15"/>
      <c r="Q710" s="15"/>
      <c r="R710" s="16">
        <f t="shared" si="22"/>
        <v>0</v>
      </c>
      <c r="S710" s="16"/>
      <c r="T710" s="80" t="str">
        <f>IF(S710="","",VLOOKUP(S710,VALORACION!F:G,2,FALSE))</f>
        <v/>
      </c>
      <c r="U710" s="11"/>
      <c r="V710" s="80" t="str">
        <f>IF(U710="","",VLOOKUP(U710,ROLES!G:H,2,FALSE))</f>
        <v/>
      </c>
      <c r="W710" s="11"/>
      <c r="X710" s="80" t="str">
        <f>IF(W710="","",VLOOKUP(W710,ROLES!I:J,2,FALSE))</f>
        <v/>
      </c>
      <c r="Y710" s="95" t="e">
        <f t="shared" si="23"/>
        <v>#VALUE!</v>
      </c>
      <c r="Z710" s="6"/>
      <c r="AA710" s="6"/>
    </row>
    <row r="711" spans="1:27" ht="28.95" customHeight="1" x14ac:dyDescent="0.3">
      <c r="A711" s="91"/>
      <c r="B711" s="91"/>
      <c r="C711" s="80"/>
      <c r="D711" s="91"/>
      <c r="E711" s="80"/>
      <c r="F711" s="6"/>
      <c r="G711" s="6"/>
      <c r="H711" s="25"/>
      <c r="I711" s="133"/>
      <c r="J711" s="6"/>
      <c r="K711" s="6"/>
      <c r="L711" s="6"/>
      <c r="M711" s="6"/>
      <c r="N711" s="84"/>
      <c r="O711" s="80" t="str">
        <f>IF(N711="","",VLOOKUP(N711,ROLES!B:C,2,FALSE))</f>
        <v/>
      </c>
      <c r="P711" s="15"/>
      <c r="Q711" s="15"/>
      <c r="R711" s="16">
        <f t="shared" ref="R711:R774" si="24">DATEDIF(P711,Q711,"m")</f>
        <v>0</v>
      </c>
      <c r="S711" s="16"/>
      <c r="T711" s="80" t="str">
        <f>IF(S711="","",VLOOKUP(S711,VALORACION!F:G,2,FALSE))</f>
        <v/>
      </c>
      <c r="U711" s="11"/>
      <c r="V711" s="80" t="str">
        <f>IF(U711="","",VLOOKUP(U711,ROLES!G:H,2,FALSE))</f>
        <v/>
      </c>
      <c r="W711" s="11"/>
      <c r="X711" s="80" t="str">
        <f>IF(W711="","",VLOOKUP(W711,ROLES!I:J,2,FALSE))</f>
        <v/>
      </c>
      <c r="Y711" s="95" t="e">
        <f t="shared" si="23"/>
        <v>#VALUE!</v>
      </c>
      <c r="Z711" s="6"/>
      <c r="AA711" s="6"/>
    </row>
    <row r="712" spans="1:27" ht="28.95" customHeight="1" x14ac:dyDescent="0.3">
      <c r="A712" s="91"/>
      <c r="B712" s="91"/>
      <c r="C712" s="80"/>
      <c r="D712" s="91"/>
      <c r="E712" s="80"/>
      <c r="F712" s="6"/>
      <c r="G712" s="6"/>
      <c r="H712" s="25"/>
      <c r="I712" s="133"/>
      <c r="J712" s="6"/>
      <c r="K712" s="6"/>
      <c r="L712" s="6"/>
      <c r="M712" s="6"/>
      <c r="N712" s="84"/>
      <c r="O712" s="80" t="str">
        <f>IF(N712="","",VLOOKUP(N712,ROLES!B:C,2,FALSE))</f>
        <v/>
      </c>
      <c r="P712" s="15"/>
      <c r="Q712" s="15"/>
      <c r="R712" s="16">
        <f t="shared" si="24"/>
        <v>0</v>
      </c>
      <c r="S712" s="16"/>
      <c r="T712" s="80" t="str">
        <f>IF(S712="","",VLOOKUP(S712,VALORACION!F:G,2,FALSE))</f>
        <v/>
      </c>
      <c r="U712" s="11"/>
      <c r="V712" s="80" t="str">
        <f>IF(U712="","",VLOOKUP(U712,ROLES!G:H,2,FALSE))</f>
        <v/>
      </c>
      <c r="W712" s="11"/>
      <c r="X712" s="80" t="str">
        <f>IF(W712="","",VLOOKUP(W712,ROLES!I:J,2,FALSE))</f>
        <v/>
      </c>
      <c r="Y712" s="95" t="e">
        <f t="shared" si="23"/>
        <v>#VALUE!</v>
      </c>
      <c r="Z712" s="6"/>
      <c r="AA712" s="6"/>
    </row>
    <row r="713" spans="1:27" ht="28.95" customHeight="1" x14ac:dyDescent="0.3">
      <c r="A713" s="91"/>
      <c r="B713" s="91"/>
      <c r="C713" s="80"/>
      <c r="D713" s="91"/>
      <c r="E713" s="80"/>
      <c r="F713" s="6"/>
      <c r="G713" s="6"/>
      <c r="H713" s="25"/>
      <c r="I713" s="133"/>
      <c r="J713" s="6"/>
      <c r="K713" s="6"/>
      <c r="L713" s="6"/>
      <c r="M713" s="6"/>
      <c r="N713" s="84"/>
      <c r="O713" s="80" t="str">
        <f>IF(N713="","",VLOOKUP(N713,ROLES!B:C,2,FALSE))</f>
        <v/>
      </c>
      <c r="P713" s="15"/>
      <c r="Q713" s="15"/>
      <c r="R713" s="16">
        <f t="shared" si="24"/>
        <v>0</v>
      </c>
      <c r="S713" s="16"/>
      <c r="T713" s="80" t="str">
        <f>IF(S713="","",VLOOKUP(S713,VALORACION!F:G,2,FALSE))</f>
        <v/>
      </c>
      <c r="U713" s="11"/>
      <c r="V713" s="80" t="str">
        <f>IF(U713="","",VLOOKUP(U713,ROLES!G:H,2,FALSE))</f>
        <v/>
      </c>
      <c r="W713" s="11"/>
      <c r="X713" s="80" t="str">
        <f>IF(W713="","",VLOOKUP(W713,ROLES!I:J,2,FALSE))</f>
        <v/>
      </c>
      <c r="Y713" s="95" t="e">
        <f t="shared" si="23"/>
        <v>#VALUE!</v>
      </c>
      <c r="Z713" s="6"/>
      <c r="AA713" s="6"/>
    </row>
    <row r="714" spans="1:27" ht="28.95" customHeight="1" x14ac:dyDescent="0.3">
      <c r="A714" s="91"/>
      <c r="B714" s="91"/>
      <c r="C714" s="80"/>
      <c r="D714" s="91"/>
      <c r="E714" s="80"/>
      <c r="F714" s="6"/>
      <c r="G714" s="6"/>
      <c r="H714" s="25"/>
      <c r="I714" s="133"/>
      <c r="J714" s="6"/>
      <c r="K714" s="6"/>
      <c r="L714" s="6"/>
      <c r="M714" s="6"/>
      <c r="N714" s="84"/>
      <c r="O714" s="80" t="str">
        <f>IF(N714="","",VLOOKUP(N714,ROLES!B:C,2,FALSE))</f>
        <v/>
      </c>
      <c r="P714" s="15"/>
      <c r="Q714" s="15"/>
      <c r="R714" s="16">
        <f t="shared" si="24"/>
        <v>0</v>
      </c>
      <c r="S714" s="16"/>
      <c r="T714" s="80" t="str">
        <f>IF(S714="","",VLOOKUP(S714,VALORACION!F:G,2,FALSE))</f>
        <v/>
      </c>
      <c r="U714" s="11"/>
      <c r="V714" s="80" t="str">
        <f>IF(U714="","",VLOOKUP(U714,ROLES!G:H,2,FALSE))</f>
        <v/>
      </c>
      <c r="W714" s="11"/>
      <c r="X714" s="80" t="str">
        <f>IF(W714="","",VLOOKUP(W714,ROLES!I:J,2,FALSE))</f>
        <v/>
      </c>
      <c r="Y714" s="95" t="e">
        <f t="shared" si="23"/>
        <v>#VALUE!</v>
      </c>
      <c r="Z714" s="6"/>
      <c r="AA714" s="6"/>
    </row>
    <row r="715" spans="1:27" ht="28.95" customHeight="1" x14ac:dyDescent="0.3">
      <c r="A715" s="91"/>
      <c r="B715" s="91"/>
      <c r="C715" s="80"/>
      <c r="D715" s="91"/>
      <c r="E715" s="80"/>
      <c r="F715" s="6"/>
      <c r="G715" s="6"/>
      <c r="H715" s="25"/>
      <c r="I715" s="133"/>
      <c r="J715" s="6"/>
      <c r="K715" s="6"/>
      <c r="L715" s="6"/>
      <c r="M715" s="6"/>
      <c r="N715" s="84"/>
      <c r="O715" s="80" t="str">
        <f>IF(N715="","",VLOOKUP(N715,ROLES!B:C,2,FALSE))</f>
        <v/>
      </c>
      <c r="P715" s="15"/>
      <c r="Q715" s="15"/>
      <c r="R715" s="16">
        <f t="shared" si="24"/>
        <v>0</v>
      </c>
      <c r="S715" s="16"/>
      <c r="T715" s="80" t="str">
        <f>IF(S715="","",VLOOKUP(S715,VALORACION!F:G,2,FALSE))</f>
        <v/>
      </c>
      <c r="U715" s="11"/>
      <c r="V715" s="80" t="str">
        <f>IF(U715="","",VLOOKUP(U715,ROLES!G:H,2,FALSE))</f>
        <v/>
      </c>
      <c r="W715" s="11"/>
      <c r="X715" s="80" t="str">
        <f>IF(W715="","",VLOOKUP(W715,ROLES!I:J,2,FALSE))</f>
        <v/>
      </c>
      <c r="Y715" s="95" t="e">
        <f t="shared" si="23"/>
        <v>#VALUE!</v>
      </c>
      <c r="Z715" s="6"/>
      <c r="AA715" s="6"/>
    </row>
    <row r="716" spans="1:27" ht="28.95" customHeight="1" x14ac:dyDescent="0.3">
      <c r="A716" s="91"/>
      <c r="B716" s="91"/>
      <c r="C716" s="80"/>
      <c r="D716" s="91"/>
      <c r="E716" s="80"/>
      <c r="F716" s="6"/>
      <c r="G716" s="6"/>
      <c r="H716" s="25"/>
      <c r="I716" s="133"/>
      <c r="J716" s="6"/>
      <c r="K716" s="6"/>
      <c r="L716" s="6"/>
      <c r="M716" s="6"/>
      <c r="N716" s="84"/>
      <c r="O716" s="80" t="str">
        <f>IF(N716="","",VLOOKUP(N716,ROLES!B:C,2,FALSE))</f>
        <v/>
      </c>
      <c r="P716" s="15"/>
      <c r="Q716" s="15"/>
      <c r="R716" s="16">
        <f t="shared" si="24"/>
        <v>0</v>
      </c>
      <c r="S716" s="16"/>
      <c r="T716" s="80" t="str">
        <f>IF(S716="","",VLOOKUP(S716,VALORACION!F:G,2,FALSE))</f>
        <v/>
      </c>
      <c r="U716" s="11"/>
      <c r="V716" s="80" t="str">
        <f>IF(U716="","",VLOOKUP(U716,ROLES!G:H,2,FALSE))</f>
        <v/>
      </c>
      <c r="W716" s="11"/>
      <c r="X716" s="80" t="str">
        <f>IF(W716="","",VLOOKUP(W716,ROLES!I:J,2,FALSE))</f>
        <v/>
      </c>
      <c r="Y716" s="95" t="e">
        <f t="shared" si="23"/>
        <v>#VALUE!</v>
      </c>
      <c r="Z716" s="6"/>
      <c r="AA716" s="6"/>
    </row>
    <row r="717" spans="1:27" ht="28.95" customHeight="1" x14ac:dyDescent="0.3">
      <c r="A717" s="91"/>
      <c r="B717" s="91"/>
      <c r="C717" s="80"/>
      <c r="D717" s="91"/>
      <c r="E717" s="80"/>
      <c r="F717" s="6"/>
      <c r="G717" s="6"/>
      <c r="H717" s="25"/>
      <c r="I717" s="133"/>
      <c r="J717" s="6"/>
      <c r="K717" s="6"/>
      <c r="L717" s="6"/>
      <c r="M717" s="6"/>
      <c r="N717" s="84"/>
      <c r="O717" s="80" t="str">
        <f>IF(N717="","",VLOOKUP(N717,ROLES!B:C,2,FALSE))</f>
        <v/>
      </c>
      <c r="P717" s="15"/>
      <c r="Q717" s="15"/>
      <c r="R717" s="16">
        <f t="shared" si="24"/>
        <v>0</v>
      </c>
      <c r="S717" s="16"/>
      <c r="T717" s="80" t="str">
        <f>IF(S717="","",VLOOKUP(S717,VALORACION!F:G,2,FALSE))</f>
        <v/>
      </c>
      <c r="U717" s="11"/>
      <c r="V717" s="80" t="str">
        <f>IF(U717="","",VLOOKUP(U717,ROLES!G:H,2,FALSE))</f>
        <v/>
      </c>
      <c r="W717" s="11"/>
      <c r="X717" s="80" t="str">
        <f>IF(W717="","",VLOOKUP(W717,ROLES!I:J,2,FALSE))</f>
        <v/>
      </c>
      <c r="Y717" s="95" t="e">
        <f t="shared" si="23"/>
        <v>#VALUE!</v>
      </c>
      <c r="Z717" s="6"/>
      <c r="AA717" s="6"/>
    </row>
    <row r="718" spans="1:27" ht="28.95" customHeight="1" x14ac:dyDescent="0.3">
      <c r="A718" s="91"/>
      <c r="B718" s="91"/>
      <c r="C718" s="80"/>
      <c r="D718" s="91"/>
      <c r="E718" s="80"/>
      <c r="F718" s="6"/>
      <c r="G718" s="6"/>
      <c r="H718" s="25"/>
      <c r="I718" s="133"/>
      <c r="J718" s="6"/>
      <c r="K718" s="6"/>
      <c r="L718" s="6"/>
      <c r="M718" s="6"/>
      <c r="N718" s="84"/>
      <c r="O718" s="80" t="str">
        <f>IF(N718="","",VLOOKUP(N718,ROLES!B:C,2,FALSE))</f>
        <v/>
      </c>
      <c r="P718" s="15"/>
      <c r="Q718" s="15"/>
      <c r="R718" s="16">
        <f t="shared" si="24"/>
        <v>0</v>
      </c>
      <c r="S718" s="16"/>
      <c r="T718" s="80" t="str">
        <f>IF(S718="","",VLOOKUP(S718,VALORACION!F:G,2,FALSE))</f>
        <v/>
      </c>
      <c r="U718" s="11"/>
      <c r="V718" s="80" t="str">
        <f>IF(U718="","",VLOOKUP(U718,ROLES!G:H,2,FALSE))</f>
        <v/>
      </c>
      <c r="W718" s="11"/>
      <c r="X718" s="80" t="str">
        <f>IF(W718="","",VLOOKUP(W718,ROLES!I:J,2,FALSE))</f>
        <v/>
      </c>
      <c r="Y718" s="95" t="e">
        <f t="shared" si="23"/>
        <v>#VALUE!</v>
      </c>
      <c r="Z718" s="6"/>
      <c r="AA718" s="6"/>
    </row>
    <row r="719" spans="1:27" ht="28.95" customHeight="1" x14ac:dyDescent="0.3">
      <c r="A719" s="91"/>
      <c r="B719" s="91"/>
      <c r="C719" s="80"/>
      <c r="D719" s="91"/>
      <c r="E719" s="80"/>
      <c r="F719" s="6"/>
      <c r="G719" s="6"/>
      <c r="H719" s="25"/>
      <c r="I719" s="133"/>
      <c r="J719" s="6"/>
      <c r="K719" s="6"/>
      <c r="L719" s="6"/>
      <c r="M719" s="6"/>
      <c r="N719" s="84"/>
      <c r="O719" s="80" t="str">
        <f>IF(N719="","",VLOOKUP(N719,ROLES!B:C,2,FALSE))</f>
        <v/>
      </c>
      <c r="P719" s="15"/>
      <c r="Q719" s="15"/>
      <c r="R719" s="16">
        <f t="shared" si="24"/>
        <v>0</v>
      </c>
      <c r="S719" s="16"/>
      <c r="T719" s="80" t="str">
        <f>IF(S719="","",VLOOKUP(S719,VALORACION!F:G,2,FALSE))</f>
        <v/>
      </c>
      <c r="U719" s="11"/>
      <c r="V719" s="80" t="str">
        <f>IF(U719="","",VLOOKUP(U719,ROLES!G:H,2,FALSE))</f>
        <v/>
      </c>
      <c r="W719" s="11"/>
      <c r="X719" s="80" t="str">
        <f>IF(W719="","",VLOOKUP(W719,ROLES!I:J,2,FALSE))</f>
        <v/>
      </c>
      <c r="Y719" s="95" t="e">
        <f t="shared" si="23"/>
        <v>#VALUE!</v>
      </c>
      <c r="Z719" s="6"/>
      <c r="AA719" s="6"/>
    </row>
    <row r="720" spans="1:27" ht="28.95" customHeight="1" x14ac:dyDescent="0.3">
      <c r="A720" s="91"/>
      <c r="B720" s="91"/>
      <c r="C720" s="80"/>
      <c r="D720" s="91"/>
      <c r="E720" s="80"/>
      <c r="F720" s="6"/>
      <c r="G720" s="6"/>
      <c r="H720" s="25"/>
      <c r="I720" s="133"/>
      <c r="J720" s="6"/>
      <c r="K720" s="6"/>
      <c r="L720" s="6"/>
      <c r="M720" s="6"/>
      <c r="N720" s="84"/>
      <c r="O720" s="80" t="str">
        <f>IF(N720="","",VLOOKUP(N720,ROLES!B:C,2,FALSE))</f>
        <v/>
      </c>
      <c r="P720" s="15"/>
      <c r="Q720" s="15"/>
      <c r="R720" s="16">
        <f t="shared" si="24"/>
        <v>0</v>
      </c>
      <c r="S720" s="16"/>
      <c r="T720" s="80" t="str">
        <f>IF(S720="","",VLOOKUP(S720,VALORACION!F:G,2,FALSE))</f>
        <v/>
      </c>
      <c r="U720" s="11"/>
      <c r="V720" s="80" t="str">
        <f>IF(U720="","",VLOOKUP(U720,ROLES!G:H,2,FALSE))</f>
        <v/>
      </c>
      <c r="W720" s="11"/>
      <c r="X720" s="80" t="str">
        <f>IF(W720="","",VLOOKUP(W720,ROLES!I:J,2,FALSE))</f>
        <v/>
      </c>
      <c r="Y720" s="95" t="e">
        <f t="shared" si="23"/>
        <v>#VALUE!</v>
      </c>
      <c r="Z720" s="6"/>
      <c r="AA720" s="6"/>
    </row>
    <row r="721" spans="1:27" ht="28.95" customHeight="1" x14ac:dyDescent="0.3">
      <c r="A721" s="91"/>
      <c r="B721" s="91"/>
      <c r="C721" s="80"/>
      <c r="D721" s="91"/>
      <c r="E721" s="80"/>
      <c r="F721" s="6"/>
      <c r="G721" s="6"/>
      <c r="H721" s="25"/>
      <c r="I721" s="133"/>
      <c r="J721" s="6"/>
      <c r="K721" s="6"/>
      <c r="L721" s="6"/>
      <c r="M721" s="6"/>
      <c r="N721" s="84"/>
      <c r="O721" s="80" t="str">
        <f>IF(N721="","",VLOOKUP(N721,ROLES!B:C,2,FALSE))</f>
        <v/>
      </c>
      <c r="P721" s="15"/>
      <c r="Q721" s="15"/>
      <c r="R721" s="16">
        <f t="shared" si="24"/>
        <v>0</v>
      </c>
      <c r="S721" s="16"/>
      <c r="T721" s="80" t="str">
        <f>IF(S721="","",VLOOKUP(S721,VALORACION!F:G,2,FALSE))</f>
        <v/>
      </c>
      <c r="U721" s="11"/>
      <c r="V721" s="80" t="str">
        <f>IF(U721="","",VLOOKUP(U721,ROLES!G:H,2,FALSE))</f>
        <v/>
      </c>
      <c r="W721" s="11"/>
      <c r="X721" s="80" t="str">
        <f>IF(W721="","",VLOOKUP(W721,ROLES!I:J,2,FALSE))</f>
        <v/>
      </c>
      <c r="Y721" s="95" t="e">
        <f t="shared" si="23"/>
        <v>#VALUE!</v>
      </c>
      <c r="Z721" s="6"/>
      <c r="AA721" s="6"/>
    </row>
    <row r="722" spans="1:27" ht="28.95" customHeight="1" x14ac:dyDescent="0.3">
      <c r="A722" s="91"/>
      <c r="B722" s="91"/>
      <c r="C722" s="80"/>
      <c r="D722" s="91"/>
      <c r="E722" s="80"/>
      <c r="F722" s="6"/>
      <c r="G722" s="6"/>
      <c r="H722" s="25"/>
      <c r="I722" s="133"/>
      <c r="J722" s="6"/>
      <c r="K722" s="6"/>
      <c r="L722" s="6"/>
      <c r="M722" s="6"/>
      <c r="N722" s="84"/>
      <c r="O722" s="80" t="str">
        <f>IF(N722="","",VLOOKUP(N722,ROLES!B:C,2,FALSE))</f>
        <v/>
      </c>
      <c r="P722" s="15"/>
      <c r="Q722" s="15"/>
      <c r="R722" s="16">
        <f t="shared" si="24"/>
        <v>0</v>
      </c>
      <c r="S722" s="16"/>
      <c r="T722" s="80" t="str">
        <f>IF(S722="","",VLOOKUP(S722,VALORACION!F:G,2,FALSE))</f>
        <v/>
      </c>
      <c r="U722" s="11"/>
      <c r="V722" s="80" t="str">
        <f>IF(U722="","",VLOOKUP(U722,ROLES!G:H,2,FALSE))</f>
        <v/>
      </c>
      <c r="W722" s="11"/>
      <c r="X722" s="80" t="str">
        <f>IF(W722="","",VLOOKUP(W722,ROLES!I:J,2,FALSE))</f>
        <v/>
      </c>
      <c r="Y722" s="95" t="e">
        <f t="shared" si="23"/>
        <v>#VALUE!</v>
      </c>
      <c r="Z722" s="6"/>
      <c r="AA722" s="6"/>
    </row>
    <row r="723" spans="1:27" ht="28.95" customHeight="1" x14ac:dyDescent="0.3">
      <c r="A723" s="91"/>
      <c r="B723" s="91"/>
      <c r="C723" s="80"/>
      <c r="D723" s="91"/>
      <c r="E723" s="80"/>
      <c r="F723" s="6"/>
      <c r="G723" s="6"/>
      <c r="H723" s="25"/>
      <c r="I723" s="133"/>
      <c r="J723" s="6"/>
      <c r="K723" s="6"/>
      <c r="L723" s="6"/>
      <c r="M723" s="6"/>
      <c r="N723" s="84"/>
      <c r="O723" s="80" t="str">
        <f>IF(N723="","",VLOOKUP(N723,ROLES!B:C,2,FALSE))</f>
        <v/>
      </c>
      <c r="P723" s="15"/>
      <c r="Q723" s="15"/>
      <c r="R723" s="16">
        <f t="shared" si="24"/>
        <v>0</v>
      </c>
      <c r="S723" s="16"/>
      <c r="T723" s="80" t="str">
        <f>IF(S723="","",VLOOKUP(S723,VALORACION!F:G,2,FALSE))</f>
        <v/>
      </c>
      <c r="U723" s="11"/>
      <c r="V723" s="80" t="str">
        <f>IF(U723="","",VLOOKUP(U723,ROLES!G:H,2,FALSE))</f>
        <v/>
      </c>
      <c r="W723" s="11"/>
      <c r="X723" s="80" t="str">
        <f>IF(W723="","",VLOOKUP(W723,ROLES!I:J,2,FALSE))</f>
        <v/>
      </c>
      <c r="Y723" s="95" t="e">
        <f t="shared" si="23"/>
        <v>#VALUE!</v>
      </c>
      <c r="Z723" s="6"/>
      <c r="AA723" s="6"/>
    </row>
    <row r="724" spans="1:27" ht="28.95" customHeight="1" x14ac:dyDescent="0.3">
      <c r="A724" s="91"/>
      <c r="B724" s="91"/>
      <c r="C724" s="80"/>
      <c r="D724" s="91"/>
      <c r="E724" s="80"/>
      <c r="F724" s="6"/>
      <c r="G724" s="6"/>
      <c r="H724" s="25"/>
      <c r="I724" s="133"/>
      <c r="J724" s="6"/>
      <c r="K724" s="6"/>
      <c r="L724" s="6"/>
      <c r="M724" s="6"/>
      <c r="N724" s="84"/>
      <c r="O724" s="80" t="str">
        <f>IF(N724="","",VLOOKUP(N724,ROLES!B:C,2,FALSE))</f>
        <v/>
      </c>
      <c r="P724" s="15"/>
      <c r="Q724" s="15"/>
      <c r="R724" s="16">
        <f t="shared" si="24"/>
        <v>0</v>
      </c>
      <c r="S724" s="16"/>
      <c r="T724" s="80" t="str">
        <f>IF(S724="","",VLOOKUP(S724,VALORACION!F:G,2,FALSE))</f>
        <v/>
      </c>
      <c r="U724" s="11"/>
      <c r="V724" s="80" t="str">
        <f>IF(U724="","",VLOOKUP(U724,ROLES!G:H,2,FALSE))</f>
        <v/>
      </c>
      <c r="W724" s="11"/>
      <c r="X724" s="80" t="str">
        <f>IF(W724="","",VLOOKUP(W724,ROLES!I:J,2,FALSE))</f>
        <v/>
      </c>
      <c r="Y724" s="95" t="e">
        <f t="shared" si="23"/>
        <v>#VALUE!</v>
      </c>
      <c r="Z724" s="6"/>
      <c r="AA724" s="6"/>
    </row>
    <row r="725" spans="1:27" ht="28.95" customHeight="1" x14ac:dyDescent="0.3">
      <c r="A725" s="91"/>
      <c r="B725" s="91"/>
      <c r="C725" s="80"/>
      <c r="D725" s="91"/>
      <c r="E725" s="80"/>
      <c r="F725" s="6"/>
      <c r="G725" s="6"/>
      <c r="H725" s="25"/>
      <c r="I725" s="133"/>
      <c r="J725" s="6"/>
      <c r="K725" s="6"/>
      <c r="L725" s="6"/>
      <c r="M725" s="6"/>
      <c r="N725" s="84"/>
      <c r="O725" s="80" t="str">
        <f>IF(N725="","",VLOOKUP(N725,ROLES!B:C,2,FALSE))</f>
        <v/>
      </c>
      <c r="P725" s="15"/>
      <c r="Q725" s="15"/>
      <c r="R725" s="16">
        <f t="shared" si="24"/>
        <v>0</v>
      </c>
      <c r="S725" s="16"/>
      <c r="T725" s="80" t="str">
        <f>IF(S725="","",VLOOKUP(S725,VALORACION!F:G,2,FALSE))</f>
        <v/>
      </c>
      <c r="U725" s="11"/>
      <c r="V725" s="80" t="str">
        <f>IF(U725="","",VLOOKUP(U725,ROLES!G:H,2,FALSE))</f>
        <v/>
      </c>
      <c r="W725" s="11"/>
      <c r="X725" s="80" t="str">
        <f>IF(W725="","",VLOOKUP(W725,ROLES!I:J,2,FALSE))</f>
        <v/>
      </c>
      <c r="Y725" s="95" t="e">
        <f t="shared" si="23"/>
        <v>#VALUE!</v>
      </c>
      <c r="Z725" s="6"/>
      <c r="AA725" s="6"/>
    </row>
    <row r="726" spans="1:27" ht="28.95" customHeight="1" x14ac:dyDescent="0.3">
      <c r="A726" s="91"/>
      <c r="B726" s="91"/>
      <c r="C726" s="80"/>
      <c r="D726" s="91"/>
      <c r="E726" s="80"/>
      <c r="F726" s="6"/>
      <c r="G726" s="6"/>
      <c r="H726" s="25"/>
      <c r="I726" s="133"/>
      <c r="J726" s="6"/>
      <c r="K726" s="6"/>
      <c r="L726" s="6"/>
      <c r="M726" s="6"/>
      <c r="N726" s="84"/>
      <c r="O726" s="80" t="str">
        <f>IF(N726="","",VLOOKUP(N726,ROLES!B:C,2,FALSE))</f>
        <v/>
      </c>
      <c r="P726" s="15"/>
      <c r="Q726" s="15"/>
      <c r="R726" s="16">
        <f t="shared" si="24"/>
        <v>0</v>
      </c>
      <c r="S726" s="16"/>
      <c r="T726" s="80" t="str">
        <f>IF(S726="","",VLOOKUP(S726,VALORACION!F:G,2,FALSE))</f>
        <v/>
      </c>
      <c r="U726" s="11"/>
      <c r="V726" s="80" t="str">
        <f>IF(U726="","",VLOOKUP(U726,ROLES!G:H,2,FALSE))</f>
        <v/>
      </c>
      <c r="W726" s="11"/>
      <c r="X726" s="80" t="str">
        <f>IF(W726="","",VLOOKUP(W726,ROLES!I:J,2,FALSE))</f>
        <v/>
      </c>
      <c r="Y726" s="95" t="e">
        <f t="shared" si="23"/>
        <v>#VALUE!</v>
      </c>
      <c r="Z726" s="6"/>
      <c r="AA726" s="6"/>
    </row>
    <row r="727" spans="1:27" ht="28.95" customHeight="1" x14ac:dyDescent="0.3">
      <c r="A727" s="91"/>
      <c r="B727" s="91"/>
      <c r="C727" s="80"/>
      <c r="D727" s="91"/>
      <c r="E727" s="80"/>
      <c r="F727" s="6"/>
      <c r="G727" s="6"/>
      <c r="H727" s="25"/>
      <c r="I727" s="133"/>
      <c r="J727" s="6"/>
      <c r="K727" s="6"/>
      <c r="L727" s="6"/>
      <c r="M727" s="6"/>
      <c r="N727" s="84"/>
      <c r="O727" s="80" t="str">
        <f>IF(N727="","",VLOOKUP(N727,ROLES!B:C,2,FALSE))</f>
        <v/>
      </c>
      <c r="P727" s="15"/>
      <c r="Q727" s="15"/>
      <c r="R727" s="16">
        <f t="shared" si="24"/>
        <v>0</v>
      </c>
      <c r="S727" s="16"/>
      <c r="T727" s="80" t="str">
        <f>IF(S727="","",VLOOKUP(S727,VALORACION!F:G,2,FALSE))</f>
        <v/>
      </c>
      <c r="U727" s="11"/>
      <c r="V727" s="80" t="str">
        <f>IF(U727="","",VLOOKUP(U727,ROLES!G:H,2,FALSE))</f>
        <v/>
      </c>
      <c r="W727" s="11"/>
      <c r="X727" s="80" t="str">
        <f>IF(W727="","",VLOOKUP(W727,ROLES!I:J,2,FALSE))</f>
        <v/>
      </c>
      <c r="Y727" s="95" t="e">
        <f t="shared" si="23"/>
        <v>#VALUE!</v>
      </c>
      <c r="Z727" s="6"/>
      <c r="AA727" s="6"/>
    </row>
    <row r="728" spans="1:27" ht="28.95" customHeight="1" x14ac:dyDescent="0.3">
      <c r="A728" s="91"/>
      <c r="B728" s="91"/>
      <c r="C728" s="80"/>
      <c r="D728" s="91"/>
      <c r="E728" s="80"/>
      <c r="F728" s="6"/>
      <c r="G728" s="6"/>
      <c r="H728" s="25"/>
      <c r="I728" s="133"/>
      <c r="J728" s="6"/>
      <c r="K728" s="6"/>
      <c r="L728" s="6"/>
      <c r="M728" s="6"/>
      <c r="N728" s="84"/>
      <c r="O728" s="80" t="str">
        <f>IF(N728="","",VLOOKUP(N728,ROLES!B:C,2,FALSE))</f>
        <v/>
      </c>
      <c r="P728" s="15"/>
      <c r="Q728" s="15"/>
      <c r="R728" s="16">
        <f t="shared" si="24"/>
        <v>0</v>
      </c>
      <c r="S728" s="16"/>
      <c r="T728" s="80" t="str">
        <f>IF(S728="","",VLOOKUP(S728,VALORACION!F:G,2,FALSE))</f>
        <v/>
      </c>
      <c r="U728" s="11"/>
      <c r="V728" s="80" t="str">
        <f>IF(U728="","",VLOOKUP(U728,ROLES!G:H,2,FALSE))</f>
        <v/>
      </c>
      <c r="W728" s="11"/>
      <c r="X728" s="80" t="str">
        <f>IF(W728="","",VLOOKUP(W728,ROLES!I:J,2,FALSE))</f>
        <v/>
      </c>
      <c r="Y728" s="95" t="e">
        <f t="shared" si="23"/>
        <v>#VALUE!</v>
      </c>
      <c r="Z728" s="6"/>
      <c r="AA728" s="6"/>
    </row>
    <row r="729" spans="1:27" ht="28.95" customHeight="1" x14ac:dyDescent="0.3">
      <c r="A729" s="91"/>
      <c r="B729" s="91"/>
      <c r="C729" s="80"/>
      <c r="D729" s="91"/>
      <c r="E729" s="80"/>
      <c r="F729" s="6"/>
      <c r="G729" s="6"/>
      <c r="H729" s="25"/>
      <c r="I729" s="133"/>
      <c r="J729" s="6"/>
      <c r="K729" s="6"/>
      <c r="L729" s="6"/>
      <c r="M729" s="6"/>
      <c r="N729" s="84"/>
      <c r="O729" s="80" t="str">
        <f>IF(N729="","",VLOOKUP(N729,ROLES!B:C,2,FALSE))</f>
        <v/>
      </c>
      <c r="P729" s="15"/>
      <c r="Q729" s="15"/>
      <c r="R729" s="16">
        <f t="shared" si="24"/>
        <v>0</v>
      </c>
      <c r="S729" s="16"/>
      <c r="T729" s="80" t="str">
        <f>IF(S729="","",VLOOKUP(S729,VALORACION!F:G,2,FALSE))</f>
        <v/>
      </c>
      <c r="U729" s="11"/>
      <c r="V729" s="80" t="str">
        <f>IF(U729="","",VLOOKUP(U729,ROLES!G:H,2,FALSE))</f>
        <v/>
      </c>
      <c r="W729" s="11"/>
      <c r="X729" s="80" t="str">
        <f>IF(W729="","",VLOOKUP(W729,ROLES!I:J,2,FALSE))</f>
        <v/>
      </c>
      <c r="Y729" s="95" t="e">
        <f t="shared" si="23"/>
        <v>#VALUE!</v>
      </c>
      <c r="Z729" s="6"/>
      <c r="AA729" s="6"/>
    </row>
    <row r="730" spans="1:27" ht="28.95" customHeight="1" x14ac:dyDescent="0.3">
      <c r="A730" s="91"/>
      <c r="B730" s="91"/>
      <c r="C730" s="80"/>
      <c r="D730" s="91"/>
      <c r="E730" s="80"/>
      <c r="F730" s="6"/>
      <c r="G730" s="6"/>
      <c r="H730" s="25"/>
      <c r="I730" s="133"/>
      <c r="J730" s="6"/>
      <c r="K730" s="6"/>
      <c r="L730" s="6"/>
      <c r="M730" s="6"/>
      <c r="N730" s="84"/>
      <c r="O730" s="80" t="str">
        <f>IF(N730="","",VLOOKUP(N730,ROLES!B:C,2,FALSE))</f>
        <v/>
      </c>
      <c r="P730" s="15"/>
      <c r="Q730" s="15"/>
      <c r="R730" s="16">
        <f t="shared" si="24"/>
        <v>0</v>
      </c>
      <c r="S730" s="16"/>
      <c r="T730" s="80" t="str">
        <f>IF(S730="","",VLOOKUP(S730,VALORACION!F:G,2,FALSE))</f>
        <v/>
      </c>
      <c r="U730" s="11"/>
      <c r="V730" s="80" t="str">
        <f>IF(U730="","",VLOOKUP(U730,ROLES!G:H,2,FALSE))</f>
        <v/>
      </c>
      <c r="W730" s="11"/>
      <c r="X730" s="80" t="str">
        <f>IF(W730="","",VLOOKUP(W730,ROLES!I:J,2,FALSE))</f>
        <v/>
      </c>
      <c r="Y730" s="95" t="e">
        <f t="shared" si="23"/>
        <v>#VALUE!</v>
      </c>
      <c r="Z730" s="6"/>
      <c r="AA730" s="6"/>
    </row>
    <row r="731" spans="1:27" ht="28.95" customHeight="1" x14ac:dyDescent="0.3">
      <c r="A731" s="91"/>
      <c r="B731" s="91"/>
      <c r="C731" s="80"/>
      <c r="D731" s="91"/>
      <c r="E731" s="80"/>
      <c r="F731" s="6"/>
      <c r="G731" s="6"/>
      <c r="H731" s="25"/>
      <c r="I731" s="133"/>
      <c r="J731" s="6"/>
      <c r="K731" s="6"/>
      <c r="L731" s="6"/>
      <c r="M731" s="6"/>
      <c r="N731" s="84"/>
      <c r="O731" s="80" t="str">
        <f>IF(N731="","",VLOOKUP(N731,ROLES!B:C,2,FALSE))</f>
        <v/>
      </c>
      <c r="P731" s="15"/>
      <c r="Q731" s="15"/>
      <c r="R731" s="16">
        <f t="shared" si="24"/>
        <v>0</v>
      </c>
      <c r="S731" s="16"/>
      <c r="T731" s="80" t="str">
        <f>IF(S731="","",VLOOKUP(S731,VALORACION!F:G,2,FALSE))</f>
        <v/>
      </c>
      <c r="U731" s="11"/>
      <c r="V731" s="80" t="str">
        <f>IF(U731="","",VLOOKUP(U731,ROLES!G:H,2,FALSE))</f>
        <v/>
      </c>
      <c r="W731" s="11"/>
      <c r="X731" s="80" t="str">
        <f>IF(W731="","",VLOOKUP(W731,ROLES!I:J,2,FALSE))</f>
        <v/>
      </c>
      <c r="Y731" s="95" t="e">
        <f t="shared" si="23"/>
        <v>#VALUE!</v>
      </c>
      <c r="Z731" s="6"/>
      <c r="AA731" s="6"/>
    </row>
    <row r="732" spans="1:27" ht="28.95" customHeight="1" x14ac:dyDescent="0.3">
      <c r="A732" s="91"/>
      <c r="B732" s="91"/>
      <c r="C732" s="80"/>
      <c r="D732" s="91"/>
      <c r="E732" s="80"/>
      <c r="F732" s="6"/>
      <c r="G732" s="6"/>
      <c r="H732" s="25"/>
      <c r="I732" s="133"/>
      <c r="J732" s="6"/>
      <c r="K732" s="6"/>
      <c r="L732" s="6"/>
      <c r="M732" s="6"/>
      <c r="N732" s="84"/>
      <c r="O732" s="80" t="str">
        <f>IF(N732="","",VLOOKUP(N732,ROLES!B:C,2,FALSE))</f>
        <v/>
      </c>
      <c r="P732" s="15"/>
      <c r="Q732" s="15"/>
      <c r="R732" s="16">
        <f t="shared" si="24"/>
        <v>0</v>
      </c>
      <c r="S732" s="16"/>
      <c r="T732" s="80" t="str">
        <f>IF(S732="","",VLOOKUP(S732,VALORACION!F:G,2,FALSE))</f>
        <v/>
      </c>
      <c r="U732" s="11"/>
      <c r="V732" s="80" t="str">
        <f>IF(U732="","",VLOOKUP(U732,ROLES!G:H,2,FALSE))</f>
        <v/>
      </c>
      <c r="W732" s="11"/>
      <c r="X732" s="80" t="str">
        <f>IF(W732="","",VLOOKUP(W732,ROLES!I:J,2,FALSE))</f>
        <v/>
      </c>
      <c r="Y732" s="95" t="e">
        <f t="shared" si="23"/>
        <v>#VALUE!</v>
      </c>
      <c r="Z732" s="6"/>
      <c r="AA732" s="6"/>
    </row>
    <row r="733" spans="1:27" ht="28.95" customHeight="1" x14ac:dyDescent="0.3">
      <c r="A733" s="91"/>
      <c r="B733" s="91"/>
      <c r="C733" s="80"/>
      <c r="D733" s="91"/>
      <c r="E733" s="80"/>
      <c r="F733" s="6"/>
      <c r="G733" s="6"/>
      <c r="H733" s="25"/>
      <c r="I733" s="133"/>
      <c r="J733" s="6"/>
      <c r="K733" s="6"/>
      <c r="L733" s="6"/>
      <c r="M733" s="6"/>
      <c r="N733" s="84"/>
      <c r="O733" s="80" t="str">
        <f>IF(N733="","",VLOOKUP(N733,ROLES!B:C,2,FALSE))</f>
        <v/>
      </c>
      <c r="P733" s="15"/>
      <c r="Q733" s="15"/>
      <c r="R733" s="16">
        <f t="shared" si="24"/>
        <v>0</v>
      </c>
      <c r="S733" s="16"/>
      <c r="T733" s="80" t="str">
        <f>IF(S733="","",VLOOKUP(S733,VALORACION!F:G,2,FALSE))</f>
        <v/>
      </c>
      <c r="U733" s="11"/>
      <c r="V733" s="80" t="str">
        <f>IF(U733="","",VLOOKUP(U733,ROLES!G:H,2,FALSE))</f>
        <v/>
      </c>
      <c r="W733" s="11"/>
      <c r="X733" s="80" t="str">
        <f>IF(W733="","",VLOOKUP(W733,ROLES!I:J,2,FALSE))</f>
        <v/>
      </c>
      <c r="Y733" s="95" t="e">
        <f t="shared" si="23"/>
        <v>#VALUE!</v>
      </c>
      <c r="Z733" s="6"/>
      <c r="AA733" s="6"/>
    </row>
    <row r="734" spans="1:27" ht="28.95" customHeight="1" x14ac:dyDescent="0.3">
      <c r="A734" s="91"/>
      <c r="B734" s="91"/>
      <c r="C734" s="80"/>
      <c r="D734" s="91"/>
      <c r="E734" s="80"/>
      <c r="F734" s="6"/>
      <c r="G734" s="6"/>
      <c r="H734" s="25"/>
      <c r="I734" s="133"/>
      <c r="J734" s="6"/>
      <c r="K734" s="6"/>
      <c r="L734" s="6"/>
      <c r="M734" s="6"/>
      <c r="N734" s="84"/>
      <c r="O734" s="80" t="str">
        <f>IF(N734="","",VLOOKUP(N734,ROLES!B:C,2,FALSE))</f>
        <v/>
      </c>
      <c r="P734" s="15"/>
      <c r="Q734" s="15"/>
      <c r="R734" s="16">
        <f t="shared" si="24"/>
        <v>0</v>
      </c>
      <c r="S734" s="16"/>
      <c r="T734" s="80" t="str">
        <f>IF(S734="","",VLOOKUP(S734,VALORACION!F:G,2,FALSE))</f>
        <v/>
      </c>
      <c r="U734" s="11"/>
      <c r="V734" s="80" t="str">
        <f>IF(U734="","",VLOOKUP(U734,ROLES!G:H,2,FALSE))</f>
        <v/>
      </c>
      <c r="W734" s="11"/>
      <c r="X734" s="80" t="str">
        <f>IF(W734="","",VLOOKUP(W734,ROLES!I:J,2,FALSE))</f>
        <v/>
      </c>
      <c r="Y734" s="95" t="e">
        <f t="shared" si="23"/>
        <v>#VALUE!</v>
      </c>
      <c r="Z734" s="6"/>
      <c r="AA734" s="6"/>
    </row>
    <row r="735" spans="1:27" ht="28.95" customHeight="1" x14ac:dyDescent="0.3">
      <c r="A735" s="91"/>
      <c r="B735" s="91"/>
      <c r="C735" s="80"/>
      <c r="D735" s="91"/>
      <c r="E735" s="80"/>
      <c r="F735" s="6"/>
      <c r="G735" s="6"/>
      <c r="H735" s="25"/>
      <c r="I735" s="133"/>
      <c r="J735" s="6"/>
      <c r="K735" s="6"/>
      <c r="L735" s="6"/>
      <c r="M735" s="6"/>
      <c r="N735" s="84"/>
      <c r="O735" s="80" t="str">
        <f>IF(N735="","",VLOOKUP(N735,ROLES!B:C,2,FALSE))</f>
        <v/>
      </c>
      <c r="P735" s="15"/>
      <c r="Q735" s="15"/>
      <c r="R735" s="16">
        <f t="shared" si="24"/>
        <v>0</v>
      </c>
      <c r="S735" s="16"/>
      <c r="T735" s="80" t="str">
        <f>IF(S735="","",VLOOKUP(S735,VALORACION!F:G,2,FALSE))</f>
        <v/>
      </c>
      <c r="U735" s="11"/>
      <c r="V735" s="80" t="str">
        <f>IF(U735="","",VLOOKUP(U735,ROLES!G:H,2,FALSE))</f>
        <v/>
      </c>
      <c r="W735" s="11"/>
      <c r="X735" s="80" t="str">
        <f>IF(W735="","",VLOOKUP(W735,ROLES!I:J,2,FALSE))</f>
        <v/>
      </c>
      <c r="Y735" s="95" t="e">
        <f t="shared" si="23"/>
        <v>#VALUE!</v>
      </c>
      <c r="Z735" s="6"/>
      <c r="AA735" s="6"/>
    </row>
    <row r="736" spans="1:27" ht="28.95" customHeight="1" x14ac:dyDescent="0.3">
      <c r="A736" s="91"/>
      <c r="B736" s="91"/>
      <c r="C736" s="80"/>
      <c r="D736" s="91"/>
      <c r="E736" s="80"/>
      <c r="F736" s="6"/>
      <c r="G736" s="6"/>
      <c r="H736" s="25"/>
      <c r="I736" s="133"/>
      <c r="J736" s="6"/>
      <c r="K736" s="6"/>
      <c r="L736" s="6"/>
      <c r="M736" s="6"/>
      <c r="N736" s="84"/>
      <c r="O736" s="80" t="str">
        <f>IF(N736="","",VLOOKUP(N736,ROLES!B:C,2,FALSE))</f>
        <v/>
      </c>
      <c r="P736" s="15"/>
      <c r="Q736" s="15"/>
      <c r="R736" s="16">
        <f t="shared" si="24"/>
        <v>0</v>
      </c>
      <c r="S736" s="16"/>
      <c r="T736" s="80" t="str">
        <f>IF(S736="","",VLOOKUP(S736,VALORACION!F:G,2,FALSE))</f>
        <v/>
      </c>
      <c r="U736" s="11"/>
      <c r="V736" s="80" t="str">
        <f>IF(U736="","",VLOOKUP(U736,ROLES!G:H,2,FALSE))</f>
        <v/>
      </c>
      <c r="W736" s="11"/>
      <c r="X736" s="80" t="str">
        <f>IF(W736="","",VLOOKUP(W736,ROLES!I:J,2,FALSE))</f>
        <v/>
      </c>
      <c r="Y736" s="95" t="e">
        <f t="shared" si="23"/>
        <v>#VALUE!</v>
      </c>
      <c r="Z736" s="6"/>
      <c r="AA736" s="6"/>
    </row>
    <row r="737" spans="1:27" ht="28.95" customHeight="1" x14ac:dyDescent="0.3">
      <c r="A737" s="91"/>
      <c r="B737" s="91"/>
      <c r="C737" s="80"/>
      <c r="D737" s="91"/>
      <c r="E737" s="80"/>
      <c r="F737" s="6"/>
      <c r="G737" s="6"/>
      <c r="H737" s="25"/>
      <c r="I737" s="133"/>
      <c r="J737" s="6"/>
      <c r="K737" s="6"/>
      <c r="L737" s="6"/>
      <c r="M737" s="6"/>
      <c r="N737" s="84"/>
      <c r="O737" s="80" t="str">
        <f>IF(N737="","",VLOOKUP(N737,ROLES!B:C,2,FALSE))</f>
        <v/>
      </c>
      <c r="P737" s="15"/>
      <c r="Q737" s="15"/>
      <c r="R737" s="16">
        <f t="shared" si="24"/>
        <v>0</v>
      </c>
      <c r="S737" s="16"/>
      <c r="T737" s="80" t="str">
        <f>IF(S737="","",VLOOKUP(S737,VALORACION!F:G,2,FALSE))</f>
        <v/>
      </c>
      <c r="U737" s="11"/>
      <c r="V737" s="80" t="str">
        <f>IF(U737="","",VLOOKUP(U737,ROLES!G:H,2,FALSE))</f>
        <v/>
      </c>
      <c r="W737" s="11"/>
      <c r="X737" s="80" t="str">
        <f>IF(W737="","",VLOOKUP(W737,ROLES!I:J,2,FALSE))</f>
        <v/>
      </c>
      <c r="Y737" s="95" t="e">
        <f t="shared" si="23"/>
        <v>#VALUE!</v>
      </c>
      <c r="Z737" s="6"/>
      <c r="AA737" s="6"/>
    </row>
    <row r="738" spans="1:27" ht="28.95" customHeight="1" x14ac:dyDescent="0.3">
      <c r="A738" s="91"/>
      <c r="B738" s="91"/>
      <c r="C738" s="80"/>
      <c r="D738" s="91"/>
      <c r="E738" s="80"/>
      <c r="F738" s="6"/>
      <c r="G738" s="6"/>
      <c r="H738" s="25"/>
      <c r="I738" s="133"/>
      <c r="J738" s="6"/>
      <c r="K738" s="6"/>
      <c r="L738" s="6"/>
      <c r="M738" s="6"/>
      <c r="N738" s="84"/>
      <c r="O738" s="80" t="str">
        <f>IF(N738="","",VLOOKUP(N738,ROLES!B:C,2,FALSE))</f>
        <v/>
      </c>
      <c r="P738" s="15"/>
      <c r="Q738" s="15"/>
      <c r="R738" s="16">
        <f t="shared" si="24"/>
        <v>0</v>
      </c>
      <c r="S738" s="16"/>
      <c r="T738" s="80" t="str">
        <f>IF(S738="","",VLOOKUP(S738,VALORACION!F:G,2,FALSE))</f>
        <v/>
      </c>
      <c r="U738" s="11"/>
      <c r="V738" s="80" t="str">
        <f>IF(U738="","",VLOOKUP(U738,ROLES!G:H,2,FALSE))</f>
        <v/>
      </c>
      <c r="W738" s="11"/>
      <c r="X738" s="80" t="str">
        <f>IF(W738="","",VLOOKUP(W738,ROLES!I:J,2,FALSE))</f>
        <v/>
      </c>
      <c r="Y738" s="95" t="e">
        <f t="shared" si="23"/>
        <v>#VALUE!</v>
      </c>
      <c r="Z738" s="6"/>
      <c r="AA738" s="6"/>
    </row>
    <row r="739" spans="1:27" ht="28.95" customHeight="1" x14ac:dyDescent="0.3">
      <c r="A739" s="91"/>
      <c r="B739" s="91"/>
      <c r="C739" s="80"/>
      <c r="D739" s="91"/>
      <c r="E739" s="80"/>
      <c r="F739" s="6"/>
      <c r="G739" s="6"/>
      <c r="H739" s="25"/>
      <c r="I739" s="133"/>
      <c r="J739" s="6"/>
      <c r="K739" s="6"/>
      <c r="L739" s="6"/>
      <c r="M739" s="6"/>
      <c r="N739" s="84"/>
      <c r="O739" s="80" t="str">
        <f>IF(N739="","",VLOOKUP(N739,ROLES!B:C,2,FALSE))</f>
        <v/>
      </c>
      <c r="P739" s="15"/>
      <c r="Q739" s="15"/>
      <c r="R739" s="16">
        <f t="shared" si="24"/>
        <v>0</v>
      </c>
      <c r="S739" s="16"/>
      <c r="T739" s="80" t="str">
        <f>IF(S739="","",VLOOKUP(S739,VALORACION!F:G,2,FALSE))</f>
        <v/>
      </c>
      <c r="U739" s="11"/>
      <c r="V739" s="80" t="str">
        <f>IF(U739="","",VLOOKUP(U739,ROLES!G:H,2,FALSE))</f>
        <v/>
      </c>
      <c r="W739" s="11"/>
      <c r="X739" s="80" t="str">
        <f>IF(W739="","",VLOOKUP(W739,ROLES!I:J,2,FALSE))</f>
        <v/>
      </c>
      <c r="Y739" s="95" t="e">
        <f t="shared" si="23"/>
        <v>#VALUE!</v>
      </c>
      <c r="Z739" s="6"/>
      <c r="AA739" s="6"/>
    </row>
    <row r="740" spans="1:27" ht="28.95" customHeight="1" x14ac:dyDescent="0.3">
      <c r="A740" s="91"/>
      <c r="B740" s="91"/>
      <c r="C740" s="80"/>
      <c r="D740" s="91"/>
      <c r="E740" s="80"/>
      <c r="F740" s="6"/>
      <c r="G740" s="6"/>
      <c r="H740" s="25"/>
      <c r="I740" s="133"/>
      <c r="J740" s="6"/>
      <c r="K740" s="6"/>
      <c r="L740" s="6"/>
      <c r="M740" s="6"/>
      <c r="N740" s="84"/>
      <c r="O740" s="80" t="str">
        <f>IF(N740="","",VLOOKUP(N740,ROLES!B:C,2,FALSE))</f>
        <v/>
      </c>
      <c r="P740" s="15"/>
      <c r="Q740" s="15"/>
      <c r="R740" s="16">
        <f t="shared" si="24"/>
        <v>0</v>
      </c>
      <c r="S740" s="16"/>
      <c r="T740" s="80" t="str">
        <f>IF(S740="","",VLOOKUP(S740,VALORACION!F:G,2,FALSE))</f>
        <v/>
      </c>
      <c r="U740" s="11"/>
      <c r="V740" s="80" t="str">
        <f>IF(U740="","",VLOOKUP(U740,ROLES!G:H,2,FALSE))</f>
        <v/>
      </c>
      <c r="W740" s="11"/>
      <c r="X740" s="80" t="str">
        <f>IF(W740="","",VLOOKUP(W740,ROLES!I:J,2,FALSE))</f>
        <v/>
      </c>
      <c r="Y740" s="95" t="e">
        <f t="shared" si="23"/>
        <v>#VALUE!</v>
      </c>
      <c r="Z740" s="6"/>
      <c r="AA740" s="6"/>
    </row>
    <row r="741" spans="1:27" ht="28.95" customHeight="1" x14ac:dyDescent="0.3">
      <c r="A741" s="91"/>
      <c r="B741" s="91"/>
      <c r="C741" s="80"/>
      <c r="D741" s="91"/>
      <c r="E741" s="80"/>
      <c r="F741" s="6"/>
      <c r="G741" s="6"/>
      <c r="H741" s="25"/>
      <c r="I741" s="133"/>
      <c r="J741" s="6"/>
      <c r="K741" s="6"/>
      <c r="L741" s="6"/>
      <c r="M741" s="6"/>
      <c r="N741" s="84"/>
      <c r="O741" s="80" t="str">
        <f>IF(N741="","",VLOOKUP(N741,ROLES!B:C,2,FALSE))</f>
        <v/>
      </c>
      <c r="P741" s="15"/>
      <c r="Q741" s="15"/>
      <c r="R741" s="16">
        <f t="shared" si="24"/>
        <v>0</v>
      </c>
      <c r="S741" s="16"/>
      <c r="T741" s="80" t="str">
        <f>IF(S741="","",VLOOKUP(S741,VALORACION!F:G,2,FALSE))</f>
        <v/>
      </c>
      <c r="U741" s="11"/>
      <c r="V741" s="80" t="str">
        <f>IF(U741="","",VLOOKUP(U741,ROLES!G:H,2,FALSE))</f>
        <v/>
      </c>
      <c r="W741" s="11"/>
      <c r="X741" s="80" t="str">
        <f>IF(W741="","",VLOOKUP(W741,ROLES!I:J,2,FALSE))</f>
        <v/>
      </c>
      <c r="Y741" s="95" t="e">
        <f t="shared" si="23"/>
        <v>#VALUE!</v>
      </c>
      <c r="Z741" s="6"/>
      <c r="AA741" s="6"/>
    </row>
    <row r="742" spans="1:27" ht="28.95" customHeight="1" x14ac:dyDescent="0.3">
      <c r="A742" s="91"/>
      <c r="B742" s="91"/>
      <c r="C742" s="80"/>
      <c r="D742" s="91"/>
      <c r="E742" s="80"/>
      <c r="F742" s="6"/>
      <c r="G742" s="6"/>
      <c r="H742" s="25"/>
      <c r="I742" s="133"/>
      <c r="J742" s="6"/>
      <c r="K742" s="6"/>
      <c r="L742" s="6"/>
      <c r="M742" s="6"/>
      <c r="N742" s="84"/>
      <c r="O742" s="80" t="str">
        <f>IF(N742="","",VLOOKUP(N742,ROLES!B:C,2,FALSE))</f>
        <v/>
      </c>
      <c r="P742" s="15"/>
      <c r="Q742" s="15"/>
      <c r="R742" s="16">
        <f t="shared" si="24"/>
        <v>0</v>
      </c>
      <c r="S742" s="16"/>
      <c r="T742" s="80" t="str">
        <f>IF(S742="","",VLOOKUP(S742,VALORACION!F:G,2,FALSE))</f>
        <v/>
      </c>
      <c r="U742" s="11"/>
      <c r="V742" s="80" t="str">
        <f>IF(U742="","",VLOOKUP(U742,ROLES!G:H,2,FALSE))</f>
        <v/>
      </c>
      <c r="W742" s="11"/>
      <c r="X742" s="80" t="str">
        <f>IF(W742="","",VLOOKUP(W742,ROLES!I:J,2,FALSE))</f>
        <v/>
      </c>
      <c r="Y742" s="95" t="e">
        <f t="shared" si="23"/>
        <v>#VALUE!</v>
      </c>
      <c r="Z742" s="6"/>
      <c r="AA742" s="6"/>
    </row>
    <row r="743" spans="1:27" ht="28.95" customHeight="1" x14ac:dyDescent="0.3">
      <c r="A743" s="91"/>
      <c r="B743" s="91"/>
      <c r="C743" s="80"/>
      <c r="D743" s="91"/>
      <c r="E743" s="80"/>
      <c r="F743" s="6"/>
      <c r="G743" s="6"/>
      <c r="H743" s="25"/>
      <c r="I743" s="133"/>
      <c r="J743" s="6"/>
      <c r="K743" s="6"/>
      <c r="L743" s="6"/>
      <c r="M743" s="6"/>
      <c r="N743" s="84"/>
      <c r="O743" s="80" t="str">
        <f>IF(N743="","",VLOOKUP(N743,ROLES!B:C,2,FALSE))</f>
        <v/>
      </c>
      <c r="P743" s="15"/>
      <c r="Q743" s="15"/>
      <c r="R743" s="16">
        <f t="shared" si="24"/>
        <v>0</v>
      </c>
      <c r="S743" s="16"/>
      <c r="T743" s="80" t="str">
        <f>IF(S743="","",VLOOKUP(S743,VALORACION!F:G,2,FALSE))</f>
        <v/>
      </c>
      <c r="U743" s="11"/>
      <c r="V743" s="80" t="str">
        <f>IF(U743="","",VLOOKUP(U743,ROLES!G:H,2,FALSE))</f>
        <v/>
      </c>
      <c r="W743" s="11"/>
      <c r="X743" s="80" t="str">
        <f>IF(W743="","",VLOOKUP(W743,ROLES!I:J,2,FALSE))</f>
        <v/>
      </c>
      <c r="Y743" s="95" t="e">
        <f t="shared" si="23"/>
        <v>#VALUE!</v>
      </c>
      <c r="Z743" s="6"/>
      <c r="AA743" s="6"/>
    </row>
    <row r="744" spans="1:27" ht="28.95" customHeight="1" x14ac:dyDescent="0.3">
      <c r="A744" s="91"/>
      <c r="B744" s="91"/>
      <c r="C744" s="80"/>
      <c r="D744" s="91"/>
      <c r="E744" s="80"/>
      <c r="F744" s="6"/>
      <c r="G744" s="6"/>
      <c r="H744" s="25"/>
      <c r="I744" s="133"/>
      <c r="J744" s="6"/>
      <c r="K744" s="6"/>
      <c r="L744" s="6"/>
      <c r="M744" s="6"/>
      <c r="N744" s="84"/>
      <c r="O744" s="80" t="str">
        <f>IF(N744="","",VLOOKUP(N744,ROLES!B:C,2,FALSE))</f>
        <v/>
      </c>
      <c r="P744" s="15"/>
      <c r="Q744" s="15"/>
      <c r="R744" s="16">
        <f t="shared" si="24"/>
        <v>0</v>
      </c>
      <c r="S744" s="16"/>
      <c r="T744" s="80" t="str">
        <f>IF(S744="","",VLOOKUP(S744,VALORACION!F:G,2,FALSE))</f>
        <v/>
      </c>
      <c r="U744" s="11"/>
      <c r="V744" s="80" t="str">
        <f>IF(U744="","",VLOOKUP(U744,ROLES!G:H,2,FALSE))</f>
        <v/>
      </c>
      <c r="W744" s="11"/>
      <c r="X744" s="80" t="str">
        <f>IF(W744="","",VLOOKUP(W744,ROLES!I:J,2,FALSE))</f>
        <v/>
      </c>
      <c r="Y744" s="95" t="e">
        <f t="shared" si="23"/>
        <v>#VALUE!</v>
      </c>
      <c r="Z744" s="6"/>
      <c r="AA744" s="6"/>
    </row>
    <row r="745" spans="1:27" ht="28.95" customHeight="1" x14ac:dyDescent="0.3">
      <c r="A745" s="91"/>
      <c r="B745" s="91"/>
      <c r="C745" s="80"/>
      <c r="D745" s="91"/>
      <c r="E745" s="80"/>
      <c r="F745" s="6"/>
      <c r="G745" s="6"/>
      <c r="H745" s="25"/>
      <c r="I745" s="133"/>
      <c r="J745" s="6"/>
      <c r="K745" s="6"/>
      <c r="L745" s="6"/>
      <c r="M745" s="6"/>
      <c r="N745" s="84"/>
      <c r="O745" s="80" t="str">
        <f>IF(N745="","",VLOOKUP(N745,ROLES!B:C,2,FALSE))</f>
        <v/>
      </c>
      <c r="P745" s="15"/>
      <c r="Q745" s="15"/>
      <c r="R745" s="16">
        <f t="shared" si="24"/>
        <v>0</v>
      </c>
      <c r="S745" s="16"/>
      <c r="T745" s="80" t="str">
        <f>IF(S745="","",VLOOKUP(S745,VALORACION!F:G,2,FALSE))</f>
        <v/>
      </c>
      <c r="U745" s="11"/>
      <c r="V745" s="80" t="str">
        <f>IF(U745="","",VLOOKUP(U745,ROLES!G:H,2,FALSE))</f>
        <v/>
      </c>
      <c r="W745" s="11"/>
      <c r="X745" s="80" t="str">
        <f>IF(W745="","",VLOOKUP(W745,ROLES!I:J,2,FALSE))</f>
        <v/>
      </c>
      <c r="Y745" s="95" t="e">
        <f t="shared" si="23"/>
        <v>#VALUE!</v>
      </c>
      <c r="Z745" s="6"/>
      <c r="AA745" s="6"/>
    </row>
    <row r="746" spans="1:27" ht="28.95" customHeight="1" x14ac:dyDescent="0.3">
      <c r="A746" s="91"/>
      <c r="B746" s="91"/>
      <c r="C746" s="80"/>
      <c r="D746" s="91"/>
      <c r="E746" s="80"/>
      <c r="F746" s="6"/>
      <c r="G746" s="6"/>
      <c r="H746" s="25"/>
      <c r="I746" s="133"/>
      <c r="J746" s="6"/>
      <c r="K746" s="6"/>
      <c r="L746" s="6"/>
      <c r="M746" s="6"/>
      <c r="N746" s="84"/>
      <c r="O746" s="80" t="str">
        <f>IF(N746="","",VLOOKUP(N746,ROLES!B:C,2,FALSE))</f>
        <v/>
      </c>
      <c r="P746" s="15"/>
      <c r="Q746" s="15"/>
      <c r="R746" s="16">
        <f t="shared" si="24"/>
        <v>0</v>
      </c>
      <c r="S746" s="16"/>
      <c r="T746" s="80" t="str">
        <f>IF(S746="","",VLOOKUP(S746,VALORACION!F:G,2,FALSE))</f>
        <v/>
      </c>
      <c r="U746" s="11"/>
      <c r="V746" s="80" t="str">
        <f>IF(U746="","",VLOOKUP(U746,ROLES!G:H,2,FALSE))</f>
        <v/>
      </c>
      <c r="W746" s="11"/>
      <c r="X746" s="80" t="str">
        <f>IF(W746="","",VLOOKUP(W746,ROLES!I:J,2,FALSE))</f>
        <v/>
      </c>
      <c r="Y746" s="95" t="e">
        <f t="shared" si="23"/>
        <v>#VALUE!</v>
      </c>
      <c r="Z746" s="6"/>
      <c r="AA746" s="6"/>
    </row>
    <row r="747" spans="1:27" ht="28.95" customHeight="1" x14ac:dyDescent="0.3">
      <c r="A747" s="91"/>
      <c r="B747" s="91"/>
      <c r="C747" s="80"/>
      <c r="D747" s="91"/>
      <c r="E747" s="80"/>
      <c r="F747" s="6"/>
      <c r="G747" s="6"/>
      <c r="H747" s="25"/>
      <c r="I747" s="133"/>
      <c r="J747" s="6"/>
      <c r="K747" s="6"/>
      <c r="L747" s="6"/>
      <c r="M747" s="6"/>
      <c r="N747" s="84"/>
      <c r="O747" s="80" t="str">
        <f>IF(N747="","",VLOOKUP(N747,ROLES!B:C,2,FALSE))</f>
        <v/>
      </c>
      <c r="P747" s="15"/>
      <c r="Q747" s="15"/>
      <c r="R747" s="16">
        <f t="shared" si="24"/>
        <v>0</v>
      </c>
      <c r="S747" s="16"/>
      <c r="T747" s="80" t="str">
        <f>IF(S747="","",VLOOKUP(S747,VALORACION!F:G,2,FALSE))</f>
        <v/>
      </c>
      <c r="U747" s="11"/>
      <c r="V747" s="80" t="str">
        <f>IF(U747="","",VLOOKUP(U747,ROLES!G:H,2,FALSE))</f>
        <v/>
      </c>
      <c r="W747" s="11"/>
      <c r="X747" s="80" t="str">
        <f>IF(W747="","",VLOOKUP(W747,ROLES!I:J,2,FALSE))</f>
        <v/>
      </c>
      <c r="Y747" s="95" t="e">
        <f t="shared" si="23"/>
        <v>#VALUE!</v>
      </c>
      <c r="Z747" s="6"/>
      <c r="AA747" s="6"/>
    </row>
    <row r="748" spans="1:27" ht="28.95" customHeight="1" x14ac:dyDescent="0.3">
      <c r="A748" s="91"/>
      <c r="B748" s="91"/>
      <c r="C748" s="80"/>
      <c r="D748" s="91"/>
      <c r="E748" s="80"/>
      <c r="F748" s="6"/>
      <c r="G748" s="6"/>
      <c r="H748" s="25"/>
      <c r="I748" s="133"/>
      <c r="J748" s="6"/>
      <c r="K748" s="6"/>
      <c r="L748" s="6"/>
      <c r="M748" s="6"/>
      <c r="N748" s="84"/>
      <c r="O748" s="80" t="str">
        <f>IF(N748="","",VLOOKUP(N748,ROLES!B:C,2,FALSE))</f>
        <v/>
      </c>
      <c r="P748" s="15"/>
      <c r="Q748" s="15"/>
      <c r="R748" s="16">
        <f t="shared" si="24"/>
        <v>0</v>
      </c>
      <c r="S748" s="16"/>
      <c r="T748" s="80" t="str">
        <f>IF(S748="","",VLOOKUP(S748,VALORACION!F:G,2,FALSE))</f>
        <v/>
      </c>
      <c r="U748" s="11"/>
      <c r="V748" s="80" t="str">
        <f>IF(U748="","",VLOOKUP(U748,ROLES!G:H,2,FALSE))</f>
        <v/>
      </c>
      <c r="W748" s="11"/>
      <c r="X748" s="80" t="str">
        <f>IF(W748="","",VLOOKUP(W748,ROLES!I:J,2,FALSE))</f>
        <v/>
      </c>
      <c r="Y748" s="95" t="e">
        <f t="shared" si="23"/>
        <v>#VALUE!</v>
      </c>
      <c r="Z748" s="6"/>
      <c r="AA748" s="6"/>
    </row>
    <row r="749" spans="1:27" ht="28.95" customHeight="1" x14ac:dyDescent="0.3">
      <c r="A749" s="91"/>
      <c r="B749" s="91"/>
      <c r="C749" s="80"/>
      <c r="D749" s="91"/>
      <c r="E749" s="80"/>
      <c r="F749" s="6"/>
      <c r="G749" s="6"/>
      <c r="H749" s="25"/>
      <c r="I749" s="133"/>
      <c r="J749" s="6"/>
      <c r="K749" s="6"/>
      <c r="L749" s="6"/>
      <c r="M749" s="6"/>
      <c r="N749" s="84"/>
      <c r="O749" s="80" t="str">
        <f>IF(N749="","",VLOOKUP(N749,ROLES!B:C,2,FALSE))</f>
        <v/>
      </c>
      <c r="P749" s="15"/>
      <c r="Q749" s="15"/>
      <c r="R749" s="16">
        <f t="shared" si="24"/>
        <v>0</v>
      </c>
      <c r="S749" s="16"/>
      <c r="T749" s="80" t="str">
        <f>IF(S749="","",VLOOKUP(S749,VALORACION!F:G,2,FALSE))</f>
        <v/>
      </c>
      <c r="U749" s="11"/>
      <c r="V749" s="80" t="str">
        <f>IF(U749="","",VLOOKUP(U749,ROLES!G:H,2,FALSE))</f>
        <v/>
      </c>
      <c r="W749" s="11"/>
      <c r="X749" s="80" t="str">
        <f>IF(W749="","",VLOOKUP(W749,ROLES!I:J,2,FALSE))</f>
        <v/>
      </c>
      <c r="Y749" s="95" t="e">
        <f t="shared" si="23"/>
        <v>#VALUE!</v>
      </c>
      <c r="Z749" s="6"/>
      <c r="AA749" s="6"/>
    </row>
    <row r="750" spans="1:27" ht="28.95" customHeight="1" x14ac:dyDescent="0.3">
      <c r="A750" s="91"/>
      <c r="B750" s="91"/>
      <c r="C750" s="80"/>
      <c r="D750" s="91"/>
      <c r="E750" s="80"/>
      <c r="F750" s="6"/>
      <c r="G750" s="6"/>
      <c r="H750" s="25"/>
      <c r="I750" s="133"/>
      <c r="J750" s="6"/>
      <c r="K750" s="6"/>
      <c r="L750" s="6"/>
      <c r="M750" s="6"/>
      <c r="N750" s="84"/>
      <c r="O750" s="80" t="str">
        <f>IF(N750="","",VLOOKUP(N750,ROLES!B:C,2,FALSE))</f>
        <v/>
      </c>
      <c r="P750" s="15"/>
      <c r="Q750" s="15"/>
      <c r="R750" s="16">
        <f t="shared" si="24"/>
        <v>0</v>
      </c>
      <c r="S750" s="16"/>
      <c r="T750" s="80" t="str">
        <f>IF(S750="","",VLOOKUP(S750,VALORACION!F:G,2,FALSE))</f>
        <v/>
      </c>
      <c r="U750" s="11"/>
      <c r="V750" s="80" t="str">
        <f>IF(U750="","",VLOOKUP(U750,ROLES!G:H,2,FALSE))</f>
        <v/>
      </c>
      <c r="W750" s="11"/>
      <c r="X750" s="80" t="str">
        <f>IF(W750="","",VLOOKUP(W750,ROLES!I:J,2,FALSE))</f>
        <v/>
      </c>
      <c r="Y750" s="95" t="e">
        <f t="shared" si="23"/>
        <v>#VALUE!</v>
      </c>
      <c r="Z750" s="6"/>
      <c r="AA750" s="6"/>
    </row>
    <row r="751" spans="1:27" ht="28.95" customHeight="1" x14ac:dyDescent="0.3">
      <c r="A751" s="91"/>
      <c r="B751" s="91"/>
      <c r="C751" s="80"/>
      <c r="D751" s="91"/>
      <c r="E751" s="80"/>
      <c r="F751" s="6"/>
      <c r="G751" s="6"/>
      <c r="H751" s="25"/>
      <c r="I751" s="133"/>
      <c r="J751" s="6"/>
      <c r="K751" s="6"/>
      <c r="L751" s="6"/>
      <c r="M751" s="6"/>
      <c r="N751" s="84"/>
      <c r="O751" s="80" t="str">
        <f>IF(N751="","",VLOOKUP(N751,ROLES!B:C,2,FALSE))</f>
        <v/>
      </c>
      <c r="P751" s="15"/>
      <c r="Q751" s="15"/>
      <c r="R751" s="16">
        <f t="shared" si="24"/>
        <v>0</v>
      </c>
      <c r="S751" s="16"/>
      <c r="T751" s="80" t="str">
        <f>IF(S751="","",VLOOKUP(S751,VALORACION!F:G,2,FALSE))</f>
        <v/>
      </c>
      <c r="U751" s="11"/>
      <c r="V751" s="80" t="str">
        <f>IF(U751="","",VLOOKUP(U751,ROLES!G:H,2,FALSE))</f>
        <v/>
      </c>
      <c r="W751" s="11"/>
      <c r="X751" s="80" t="str">
        <f>IF(W751="","",VLOOKUP(W751,ROLES!I:J,2,FALSE))</f>
        <v/>
      </c>
      <c r="Y751" s="95" t="e">
        <f t="shared" si="23"/>
        <v>#VALUE!</v>
      </c>
      <c r="Z751" s="6"/>
      <c r="AA751" s="6"/>
    </row>
    <row r="752" spans="1:27" ht="28.95" customHeight="1" x14ac:dyDescent="0.3">
      <c r="A752" s="91"/>
      <c r="B752" s="91"/>
      <c r="C752" s="80"/>
      <c r="D752" s="91"/>
      <c r="E752" s="80"/>
      <c r="F752" s="6"/>
      <c r="G752" s="6"/>
      <c r="H752" s="25"/>
      <c r="I752" s="133"/>
      <c r="J752" s="6"/>
      <c r="K752" s="6"/>
      <c r="L752" s="6"/>
      <c r="M752" s="6"/>
      <c r="N752" s="84"/>
      <c r="O752" s="80" t="str">
        <f>IF(N752="","",VLOOKUP(N752,ROLES!B:C,2,FALSE))</f>
        <v/>
      </c>
      <c r="P752" s="15"/>
      <c r="Q752" s="15"/>
      <c r="R752" s="16">
        <f t="shared" si="24"/>
        <v>0</v>
      </c>
      <c r="S752" s="16"/>
      <c r="T752" s="80" t="str">
        <f>IF(S752="","",VLOOKUP(S752,VALORACION!F:G,2,FALSE))</f>
        <v/>
      </c>
      <c r="U752" s="11"/>
      <c r="V752" s="80" t="str">
        <f>IF(U752="","",VLOOKUP(U752,ROLES!G:H,2,FALSE))</f>
        <v/>
      </c>
      <c r="W752" s="11"/>
      <c r="X752" s="80" t="str">
        <f>IF(W752="","",VLOOKUP(W752,ROLES!I:J,2,FALSE))</f>
        <v/>
      </c>
      <c r="Y752" s="95" t="e">
        <f t="shared" si="23"/>
        <v>#VALUE!</v>
      </c>
      <c r="Z752" s="6"/>
      <c r="AA752" s="6"/>
    </row>
    <row r="753" spans="1:27" ht="28.95" customHeight="1" x14ac:dyDescent="0.3">
      <c r="A753" s="91"/>
      <c r="B753" s="91"/>
      <c r="C753" s="80"/>
      <c r="D753" s="91"/>
      <c r="E753" s="80"/>
      <c r="F753" s="6"/>
      <c r="G753" s="6"/>
      <c r="H753" s="25"/>
      <c r="I753" s="133"/>
      <c r="J753" s="6"/>
      <c r="K753" s="6"/>
      <c r="L753" s="6"/>
      <c r="M753" s="6"/>
      <c r="N753" s="84"/>
      <c r="O753" s="80" t="str">
        <f>IF(N753="","",VLOOKUP(N753,ROLES!B:C,2,FALSE))</f>
        <v/>
      </c>
      <c r="P753" s="15"/>
      <c r="Q753" s="15"/>
      <c r="R753" s="16">
        <f t="shared" si="24"/>
        <v>0</v>
      </c>
      <c r="S753" s="16"/>
      <c r="T753" s="80" t="str">
        <f>IF(S753="","",VLOOKUP(S753,VALORACION!F:G,2,FALSE))</f>
        <v/>
      </c>
      <c r="U753" s="11"/>
      <c r="V753" s="80" t="str">
        <f>IF(U753="","",VLOOKUP(U753,ROLES!G:H,2,FALSE))</f>
        <v/>
      </c>
      <c r="W753" s="11"/>
      <c r="X753" s="80" t="str">
        <f>IF(W753="","",VLOOKUP(W753,ROLES!I:J,2,FALSE))</f>
        <v/>
      </c>
      <c r="Y753" s="95" t="e">
        <f t="shared" si="23"/>
        <v>#VALUE!</v>
      </c>
      <c r="Z753" s="6"/>
      <c r="AA753" s="6"/>
    </row>
    <row r="754" spans="1:27" ht="28.95" customHeight="1" x14ac:dyDescent="0.3">
      <c r="A754" s="91"/>
      <c r="B754" s="91"/>
      <c r="C754" s="80"/>
      <c r="D754" s="91"/>
      <c r="E754" s="80"/>
      <c r="F754" s="6"/>
      <c r="G754" s="6"/>
      <c r="H754" s="25"/>
      <c r="I754" s="133"/>
      <c r="J754" s="6"/>
      <c r="K754" s="6"/>
      <c r="L754" s="6"/>
      <c r="M754" s="6"/>
      <c r="N754" s="84"/>
      <c r="O754" s="80" t="str">
        <f>IF(N754="","",VLOOKUP(N754,ROLES!B:C,2,FALSE))</f>
        <v/>
      </c>
      <c r="P754" s="15"/>
      <c r="Q754" s="15"/>
      <c r="R754" s="16">
        <f t="shared" si="24"/>
        <v>0</v>
      </c>
      <c r="S754" s="16"/>
      <c r="T754" s="80" t="str">
        <f>IF(S754="","",VLOOKUP(S754,VALORACION!F:G,2,FALSE))</f>
        <v/>
      </c>
      <c r="U754" s="11"/>
      <c r="V754" s="80" t="str">
        <f>IF(U754="","",VLOOKUP(U754,ROLES!G:H,2,FALSE))</f>
        <v/>
      </c>
      <c r="W754" s="11"/>
      <c r="X754" s="80" t="str">
        <f>IF(W754="","",VLOOKUP(W754,ROLES!I:J,2,FALSE))</f>
        <v/>
      </c>
      <c r="Y754" s="95" t="e">
        <f t="shared" si="23"/>
        <v>#VALUE!</v>
      </c>
      <c r="Z754" s="6"/>
      <c r="AA754" s="6"/>
    </row>
    <row r="755" spans="1:27" ht="28.95" customHeight="1" x14ac:dyDescent="0.3">
      <c r="A755" s="91"/>
      <c r="B755" s="91"/>
      <c r="C755" s="80"/>
      <c r="D755" s="91"/>
      <c r="E755" s="80"/>
      <c r="F755" s="6"/>
      <c r="G755" s="6"/>
      <c r="H755" s="25"/>
      <c r="I755" s="133"/>
      <c r="J755" s="6"/>
      <c r="K755" s="6"/>
      <c r="L755" s="6"/>
      <c r="M755" s="6"/>
      <c r="N755" s="84"/>
      <c r="O755" s="80" t="str">
        <f>IF(N755="","",VLOOKUP(N755,ROLES!B:C,2,FALSE))</f>
        <v/>
      </c>
      <c r="P755" s="15"/>
      <c r="Q755" s="15"/>
      <c r="R755" s="16">
        <f t="shared" si="24"/>
        <v>0</v>
      </c>
      <c r="S755" s="16"/>
      <c r="T755" s="80" t="str">
        <f>IF(S755="","",VLOOKUP(S755,VALORACION!F:G,2,FALSE))</f>
        <v/>
      </c>
      <c r="U755" s="11"/>
      <c r="V755" s="80" t="str">
        <f>IF(U755="","",VLOOKUP(U755,ROLES!G:H,2,FALSE))</f>
        <v/>
      </c>
      <c r="W755" s="11"/>
      <c r="X755" s="80" t="str">
        <f>IF(W755="","",VLOOKUP(W755,ROLES!I:J,2,FALSE))</f>
        <v/>
      </c>
      <c r="Y755" s="95" t="e">
        <f t="shared" si="23"/>
        <v>#VALUE!</v>
      </c>
      <c r="Z755" s="6"/>
      <c r="AA755" s="6"/>
    </row>
    <row r="756" spans="1:27" ht="28.95" customHeight="1" x14ac:dyDescent="0.3">
      <c r="A756" s="91"/>
      <c r="B756" s="91"/>
      <c r="C756" s="80"/>
      <c r="D756" s="91"/>
      <c r="E756" s="80"/>
      <c r="F756" s="6"/>
      <c r="G756" s="6"/>
      <c r="H756" s="25"/>
      <c r="I756" s="133"/>
      <c r="J756" s="6"/>
      <c r="K756" s="6"/>
      <c r="L756" s="6"/>
      <c r="M756" s="6"/>
      <c r="N756" s="84"/>
      <c r="O756" s="80" t="str">
        <f>IF(N756="","",VLOOKUP(N756,ROLES!B:C,2,FALSE))</f>
        <v/>
      </c>
      <c r="P756" s="15"/>
      <c r="Q756" s="15"/>
      <c r="R756" s="16">
        <f t="shared" si="24"/>
        <v>0</v>
      </c>
      <c r="S756" s="16"/>
      <c r="T756" s="80" t="str">
        <f>IF(S756="","",VLOOKUP(S756,VALORACION!F:G,2,FALSE))</f>
        <v/>
      </c>
      <c r="U756" s="11"/>
      <c r="V756" s="80" t="str">
        <f>IF(U756="","",VLOOKUP(U756,ROLES!G:H,2,FALSE))</f>
        <v/>
      </c>
      <c r="W756" s="11"/>
      <c r="X756" s="80" t="str">
        <f>IF(W756="","",VLOOKUP(W756,ROLES!I:J,2,FALSE))</f>
        <v/>
      </c>
      <c r="Y756" s="95" t="e">
        <f t="shared" si="23"/>
        <v>#VALUE!</v>
      </c>
      <c r="Z756" s="6"/>
      <c r="AA756" s="6"/>
    </row>
    <row r="757" spans="1:27" ht="28.95" customHeight="1" x14ac:dyDescent="0.3">
      <c r="A757" s="91"/>
      <c r="B757" s="91"/>
      <c r="C757" s="80"/>
      <c r="D757" s="91"/>
      <c r="E757" s="80"/>
      <c r="F757" s="6"/>
      <c r="G757" s="6"/>
      <c r="H757" s="25"/>
      <c r="I757" s="133"/>
      <c r="J757" s="6"/>
      <c r="K757" s="6"/>
      <c r="L757" s="6"/>
      <c r="M757" s="6"/>
      <c r="N757" s="84"/>
      <c r="O757" s="80" t="str">
        <f>IF(N757="","",VLOOKUP(N757,ROLES!B:C,2,FALSE))</f>
        <v/>
      </c>
      <c r="P757" s="15"/>
      <c r="Q757" s="15"/>
      <c r="R757" s="16">
        <f t="shared" si="24"/>
        <v>0</v>
      </c>
      <c r="S757" s="16"/>
      <c r="T757" s="80" t="str">
        <f>IF(S757="","",VLOOKUP(S757,VALORACION!F:G,2,FALSE))</f>
        <v/>
      </c>
      <c r="U757" s="11"/>
      <c r="V757" s="80" t="str">
        <f>IF(U757="","",VLOOKUP(U757,ROLES!G:H,2,FALSE))</f>
        <v/>
      </c>
      <c r="W757" s="11"/>
      <c r="X757" s="80" t="str">
        <f>IF(W757="","",VLOOKUP(W757,ROLES!I:J,2,FALSE))</f>
        <v/>
      </c>
      <c r="Y757" s="95" t="e">
        <f t="shared" si="23"/>
        <v>#VALUE!</v>
      </c>
      <c r="Z757" s="6"/>
      <c r="AA757" s="6"/>
    </row>
    <row r="758" spans="1:27" ht="28.95" customHeight="1" x14ac:dyDescent="0.3">
      <c r="A758" s="91"/>
      <c r="B758" s="91"/>
      <c r="C758" s="80"/>
      <c r="D758" s="91"/>
      <c r="E758" s="80"/>
      <c r="F758" s="6"/>
      <c r="G758" s="6"/>
      <c r="H758" s="25"/>
      <c r="I758" s="133"/>
      <c r="J758" s="6"/>
      <c r="K758" s="6"/>
      <c r="L758" s="6"/>
      <c r="M758" s="6"/>
      <c r="N758" s="84"/>
      <c r="O758" s="80" t="str">
        <f>IF(N758="","",VLOOKUP(N758,ROLES!B:C,2,FALSE))</f>
        <v/>
      </c>
      <c r="P758" s="15"/>
      <c r="Q758" s="15"/>
      <c r="R758" s="16">
        <f t="shared" si="24"/>
        <v>0</v>
      </c>
      <c r="S758" s="16"/>
      <c r="T758" s="80" t="str">
        <f>IF(S758="","",VLOOKUP(S758,VALORACION!F:G,2,FALSE))</f>
        <v/>
      </c>
      <c r="U758" s="11"/>
      <c r="V758" s="80" t="str">
        <f>IF(U758="","",VLOOKUP(U758,ROLES!G:H,2,FALSE))</f>
        <v/>
      </c>
      <c r="W758" s="11"/>
      <c r="X758" s="80" t="str">
        <f>IF(W758="","",VLOOKUP(W758,ROLES!I:J,2,FALSE))</f>
        <v/>
      </c>
      <c r="Y758" s="95" t="e">
        <f t="shared" si="23"/>
        <v>#VALUE!</v>
      </c>
      <c r="Z758" s="6"/>
      <c r="AA758" s="6"/>
    </row>
    <row r="759" spans="1:27" ht="28.95" customHeight="1" x14ac:dyDescent="0.3">
      <c r="A759" s="91"/>
      <c r="B759" s="91"/>
      <c r="C759" s="80"/>
      <c r="D759" s="91"/>
      <c r="E759" s="80"/>
      <c r="F759" s="6"/>
      <c r="G759" s="6"/>
      <c r="H759" s="25"/>
      <c r="I759" s="133"/>
      <c r="J759" s="6"/>
      <c r="K759" s="6"/>
      <c r="L759" s="6"/>
      <c r="M759" s="6"/>
      <c r="N759" s="84"/>
      <c r="O759" s="80" t="str">
        <f>IF(N759="","",VLOOKUP(N759,ROLES!B:C,2,FALSE))</f>
        <v/>
      </c>
      <c r="P759" s="15"/>
      <c r="Q759" s="15"/>
      <c r="R759" s="16">
        <f t="shared" si="24"/>
        <v>0</v>
      </c>
      <c r="S759" s="16"/>
      <c r="T759" s="80" t="str">
        <f>IF(S759="","",VLOOKUP(S759,VALORACION!F:G,2,FALSE))</f>
        <v/>
      </c>
      <c r="U759" s="11"/>
      <c r="V759" s="80" t="str">
        <f>IF(U759="","",VLOOKUP(U759,ROLES!G:H,2,FALSE))</f>
        <v/>
      </c>
      <c r="W759" s="11"/>
      <c r="X759" s="80" t="str">
        <f>IF(W759="","",VLOOKUP(W759,ROLES!I:J,2,FALSE))</f>
        <v/>
      </c>
      <c r="Y759" s="95" t="e">
        <f t="shared" si="23"/>
        <v>#VALUE!</v>
      </c>
      <c r="Z759" s="6"/>
      <c r="AA759" s="6"/>
    </row>
    <row r="760" spans="1:27" ht="28.95" customHeight="1" x14ac:dyDescent="0.3">
      <c r="A760" s="91"/>
      <c r="B760" s="91"/>
      <c r="C760" s="80"/>
      <c r="D760" s="91"/>
      <c r="E760" s="80"/>
      <c r="F760" s="6"/>
      <c r="G760" s="6"/>
      <c r="H760" s="25"/>
      <c r="I760" s="133"/>
      <c r="J760" s="6"/>
      <c r="K760" s="6"/>
      <c r="L760" s="6"/>
      <c r="M760" s="6"/>
      <c r="N760" s="84"/>
      <c r="O760" s="80" t="str">
        <f>IF(N760="","",VLOOKUP(N760,ROLES!B:C,2,FALSE))</f>
        <v/>
      </c>
      <c r="P760" s="15"/>
      <c r="Q760" s="15"/>
      <c r="R760" s="16">
        <f t="shared" si="24"/>
        <v>0</v>
      </c>
      <c r="S760" s="16"/>
      <c r="T760" s="80" t="str">
        <f>IF(S760="","",VLOOKUP(S760,VALORACION!F:G,2,FALSE))</f>
        <v/>
      </c>
      <c r="U760" s="11"/>
      <c r="V760" s="80" t="str">
        <f>IF(U760="","",VLOOKUP(U760,ROLES!G:H,2,FALSE))</f>
        <v/>
      </c>
      <c r="W760" s="11"/>
      <c r="X760" s="80" t="str">
        <f>IF(W760="","",VLOOKUP(W760,ROLES!I:J,2,FALSE))</f>
        <v/>
      </c>
      <c r="Y760" s="95" t="e">
        <f t="shared" si="23"/>
        <v>#VALUE!</v>
      </c>
      <c r="Z760" s="6"/>
      <c r="AA760" s="6"/>
    </row>
    <row r="761" spans="1:27" ht="28.95" customHeight="1" x14ac:dyDescent="0.3">
      <c r="A761" s="91"/>
      <c r="B761" s="91"/>
      <c r="C761" s="80"/>
      <c r="D761" s="91"/>
      <c r="E761" s="80"/>
      <c r="F761" s="6"/>
      <c r="G761" s="6"/>
      <c r="H761" s="25"/>
      <c r="I761" s="133"/>
      <c r="J761" s="6"/>
      <c r="K761" s="6"/>
      <c r="L761" s="6"/>
      <c r="M761" s="6"/>
      <c r="N761" s="84"/>
      <c r="O761" s="80" t="str">
        <f>IF(N761="","",VLOOKUP(N761,ROLES!B:C,2,FALSE))</f>
        <v/>
      </c>
      <c r="P761" s="15"/>
      <c r="Q761" s="15"/>
      <c r="R761" s="16">
        <f t="shared" si="24"/>
        <v>0</v>
      </c>
      <c r="S761" s="16"/>
      <c r="T761" s="80" t="str">
        <f>IF(S761="","",VLOOKUP(S761,VALORACION!F:G,2,FALSE))</f>
        <v/>
      </c>
      <c r="U761" s="11"/>
      <c r="V761" s="80" t="str">
        <f>IF(U761="","",VLOOKUP(U761,ROLES!G:H,2,FALSE))</f>
        <v/>
      </c>
      <c r="W761" s="11"/>
      <c r="X761" s="80" t="str">
        <f>IF(W761="","",VLOOKUP(W761,ROLES!I:J,2,FALSE))</f>
        <v/>
      </c>
      <c r="Y761" s="95" t="e">
        <f t="shared" si="23"/>
        <v>#VALUE!</v>
      </c>
      <c r="Z761" s="6"/>
      <c r="AA761" s="6"/>
    </row>
    <row r="762" spans="1:27" ht="28.95" customHeight="1" x14ac:dyDescent="0.3">
      <c r="A762" s="91"/>
      <c r="B762" s="91"/>
      <c r="C762" s="80"/>
      <c r="D762" s="91"/>
      <c r="E762" s="80"/>
      <c r="F762" s="6"/>
      <c r="G762" s="6"/>
      <c r="H762" s="25"/>
      <c r="I762" s="133"/>
      <c r="J762" s="6"/>
      <c r="K762" s="6"/>
      <c r="L762" s="6"/>
      <c r="M762" s="6"/>
      <c r="N762" s="84"/>
      <c r="O762" s="80" t="str">
        <f>IF(N762="","",VLOOKUP(N762,ROLES!B:C,2,FALSE))</f>
        <v/>
      </c>
      <c r="P762" s="15"/>
      <c r="Q762" s="15"/>
      <c r="R762" s="16">
        <f t="shared" si="24"/>
        <v>0</v>
      </c>
      <c r="S762" s="16"/>
      <c r="T762" s="80" t="str">
        <f>IF(S762="","",VLOOKUP(S762,VALORACION!F:G,2,FALSE))</f>
        <v/>
      </c>
      <c r="U762" s="11"/>
      <c r="V762" s="80" t="str">
        <f>IF(U762="","",VLOOKUP(U762,ROLES!G:H,2,FALSE))</f>
        <v/>
      </c>
      <c r="W762" s="11"/>
      <c r="X762" s="80" t="str">
        <f>IF(W762="","",VLOOKUP(W762,ROLES!I:J,2,FALSE))</f>
        <v/>
      </c>
      <c r="Y762" s="95" t="e">
        <f t="shared" si="23"/>
        <v>#VALUE!</v>
      </c>
      <c r="Z762" s="6"/>
      <c r="AA762" s="6"/>
    </row>
    <row r="763" spans="1:27" ht="28.95" customHeight="1" x14ac:dyDescent="0.3">
      <c r="A763" s="91"/>
      <c r="B763" s="91"/>
      <c r="C763" s="80"/>
      <c r="D763" s="91"/>
      <c r="E763" s="80"/>
      <c r="F763" s="6"/>
      <c r="G763" s="6"/>
      <c r="H763" s="25"/>
      <c r="I763" s="133"/>
      <c r="J763" s="6"/>
      <c r="K763" s="6"/>
      <c r="L763" s="6"/>
      <c r="M763" s="6"/>
      <c r="N763" s="84"/>
      <c r="O763" s="80" t="str">
        <f>IF(N763="","",VLOOKUP(N763,ROLES!B:C,2,FALSE))</f>
        <v/>
      </c>
      <c r="P763" s="15"/>
      <c r="Q763" s="15"/>
      <c r="R763" s="16">
        <f t="shared" si="24"/>
        <v>0</v>
      </c>
      <c r="S763" s="16"/>
      <c r="T763" s="80" t="str">
        <f>IF(S763="","",VLOOKUP(S763,VALORACION!F:G,2,FALSE))</f>
        <v/>
      </c>
      <c r="U763" s="11"/>
      <c r="V763" s="80" t="str">
        <f>IF(U763="","",VLOOKUP(U763,ROLES!G:H,2,FALSE))</f>
        <v/>
      </c>
      <c r="W763" s="11"/>
      <c r="X763" s="80" t="str">
        <f>IF(W763="","",VLOOKUP(W763,ROLES!I:J,2,FALSE))</f>
        <v/>
      </c>
      <c r="Y763" s="95" t="e">
        <f t="shared" si="23"/>
        <v>#VALUE!</v>
      </c>
      <c r="Z763" s="6"/>
      <c r="AA763" s="6"/>
    </row>
    <row r="764" spans="1:27" ht="28.95" customHeight="1" x14ac:dyDescent="0.3">
      <c r="A764" s="91"/>
      <c r="B764" s="91"/>
      <c r="C764" s="80"/>
      <c r="D764" s="91"/>
      <c r="E764" s="80"/>
      <c r="F764" s="6"/>
      <c r="G764" s="6"/>
      <c r="H764" s="25"/>
      <c r="I764" s="133"/>
      <c r="J764" s="6"/>
      <c r="K764" s="6"/>
      <c r="L764" s="6"/>
      <c r="M764" s="6"/>
      <c r="N764" s="84"/>
      <c r="O764" s="80" t="str">
        <f>IF(N764="","",VLOOKUP(N764,ROLES!B:C,2,FALSE))</f>
        <v/>
      </c>
      <c r="P764" s="15"/>
      <c r="Q764" s="15"/>
      <c r="R764" s="16">
        <f t="shared" si="24"/>
        <v>0</v>
      </c>
      <c r="S764" s="16"/>
      <c r="T764" s="80" t="str">
        <f>IF(S764="","",VLOOKUP(S764,VALORACION!F:G,2,FALSE))</f>
        <v/>
      </c>
      <c r="U764" s="11"/>
      <c r="V764" s="80" t="str">
        <f>IF(U764="","",VLOOKUP(U764,ROLES!G:H,2,FALSE))</f>
        <v/>
      </c>
      <c r="W764" s="11"/>
      <c r="X764" s="80" t="str">
        <f>IF(W764="","",VLOOKUP(W764,ROLES!I:J,2,FALSE))</f>
        <v/>
      </c>
      <c r="Y764" s="95" t="e">
        <f t="shared" si="23"/>
        <v>#VALUE!</v>
      </c>
      <c r="Z764" s="6"/>
      <c r="AA764" s="6"/>
    </row>
    <row r="765" spans="1:27" ht="28.95" customHeight="1" x14ac:dyDescent="0.3">
      <c r="A765" s="91"/>
      <c r="B765" s="91"/>
      <c r="C765" s="80"/>
      <c r="D765" s="91"/>
      <c r="E765" s="80"/>
      <c r="F765" s="6"/>
      <c r="G765" s="6"/>
      <c r="H765" s="25"/>
      <c r="I765" s="133"/>
      <c r="J765" s="6"/>
      <c r="K765" s="6"/>
      <c r="L765" s="6"/>
      <c r="M765" s="6"/>
      <c r="N765" s="84"/>
      <c r="O765" s="80" t="str">
        <f>IF(N765="","",VLOOKUP(N765,ROLES!B:C,2,FALSE))</f>
        <v/>
      </c>
      <c r="P765" s="15"/>
      <c r="Q765" s="15"/>
      <c r="R765" s="16">
        <f t="shared" si="24"/>
        <v>0</v>
      </c>
      <c r="S765" s="16"/>
      <c r="T765" s="80" t="str">
        <f>IF(S765="","",VLOOKUP(S765,VALORACION!F:G,2,FALSE))</f>
        <v/>
      </c>
      <c r="U765" s="11"/>
      <c r="V765" s="80" t="str">
        <f>IF(U765="","",VLOOKUP(U765,ROLES!G:H,2,FALSE))</f>
        <v/>
      </c>
      <c r="W765" s="11"/>
      <c r="X765" s="80" t="str">
        <f>IF(W765="","",VLOOKUP(W765,ROLES!I:J,2,FALSE))</f>
        <v/>
      </c>
      <c r="Y765" s="95" t="e">
        <f t="shared" si="23"/>
        <v>#VALUE!</v>
      </c>
      <c r="Z765" s="6"/>
      <c r="AA765" s="6"/>
    </row>
    <row r="766" spans="1:27" ht="28.95" customHeight="1" x14ac:dyDescent="0.3">
      <c r="A766" s="91"/>
      <c r="B766" s="91"/>
      <c r="C766" s="80"/>
      <c r="D766" s="91"/>
      <c r="E766" s="80"/>
      <c r="F766" s="6"/>
      <c r="G766" s="6"/>
      <c r="H766" s="25"/>
      <c r="I766" s="133"/>
      <c r="J766" s="6"/>
      <c r="K766" s="6"/>
      <c r="L766" s="6"/>
      <c r="M766" s="6"/>
      <c r="N766" s="84"/>
      <c r="O766" s="80" t="str">
        <f>IF(N766="","",VLOOKUP(N766,ROLES!B:C,2,FALSE))</f>
        <v/>
      </c>
      <c r="P766" s="15"/>
      <c r="Q766" s="15"/>
      <c r="R766" s="16">
        <f t="shared" si="24"/>
        <v>0</v>
      </c>
      <c r="S766" s="16"/>
      <c r="T766" s="80" t="str">
        <f>IF(S766="","",VLOOKUP(S766,VALORACION!F:G,2,FALSE))</f>
        <v/>
      </c>
      <c r="U766" s="11"/>
      <c r="V766" s="80" t="str">
        <f>IF(U766="","",VLOOKUP(U766,ROLES!G:H,2,FALSE))</f>
        <v/>
      </c>
      <c r="W766" s="11"/>
      <c r="X766" s="80" t="str">
        <f>IF(W766="","",VLOOKUP(W766,ROLES!I:J,2,FALSE))</f>
        <v/>
      </c>
      <c r="Y766" s="95" t="e">
        <f t="shared" si="23"/>
        <v>#VALUE!</v>
      </c>
      <c r="Z766" s="6"/>
      <c r="AA766" s="6"/>
    </row>
    <row r="767" spans="1:27" ht="28.95" customHeight="1" x14ac:dyDescent="0.3">
      <c r="A767" s="91"/>
      <c r="B767" s="91"/>
      <c r="C767" s="80"/>
      <c r="D767" s="91"/>
      <c r="E767" s="80"/>
      <c r="F767" s="6"/>
      <c r="G767" s="6"/>
      <c r="H767" s="25"/>
      <c r="I767" s="133"/>
      <c r="J767" s="6"/>
      <c r="K767" s="6"/>
      <c r="L767" s="6"/>
      <c r="M767" s="6"/>
      <c r="N767" s="84"/>
      <c r="O767" s="80" t="str">
        <f>IF(N767="","",VLOOKUP(N767,ROLES!B:C,2,FALSE))</f>
        <v/>
      </c>
      <c r="P767" s="15"/>
      <c r="Q767" s="15"/>
      <c r="R767" s="16">
        <f t="shared" si="24"/>
        <v>0</v>
      </c>
      <c r="S767" s="16"/>
      <c r="T767" s="80" t="str">
        <f>IF(S767="","",VLOOKUP(S767,VALORACION!F:G,2,FALSE))</f>
        <v/>
      </c>
      <c r="U767" s="11"/>
      <c r="V767" s="80" t="str">
        <f>IF(U767="","",VLOOKUP(U767,ROLES!G:H,2,FALSE))</f>
        <v/>
      </c>
      <c r="W767" s="11"/>
      <c r="X767" s="80" t="str">
        <f>IF(W767="","",VLOOKUP(W767,ROLES!I:J,2,FALSE))</f>
        <v/>
      </c>
      <c r="Y767" s="95" t="e">
        <f t="shared" si="23"/>
        <v>#VALUE!</v>
      </c>
      <c r="Z767" s="6"/>
      <c r="AA767" s="6"/>
    </row>
    <row r="768" spans="1:27" ht="28.95" customHeight="1" x14ac:dyDescent="0.3">
      <c r="A768" s="91"/>
      <c r="B768" s="91"/>
      <c r="C768" s="80"/>
      <c r="D768" s="91"/>
      <c r="E768" s="80"/>
      <c r="F768" s="6"/>
      <c r="G768" s="6"/>
      <c r="H768" s="25"/>
      <c r="I768" s="133"/>
      <c r="J768" s="6"/>
      <c r="K768" s="6"/>
      <c r="L768" s="6"/>
      <c r="M768" s="6"/>
      <c r="N768" s="84"/>
      <c r="O768" s="80" t="str">
        <f>IF(N768="","",VLOOKUP(N768,ROLES!B:C,2,FALSE))</f>
        <v/>
      </c>
      <c r="P768" s="15"/>
      <c r="Q768" s="15"/>
      <c r="R768" s="16">
        <f t="shared" si="24"/>
        <v>0</v>
      </c>
      <c r="S768" s="16"/>
      <c r="T768" s="80" t="str">
        <f>IF(S768="","",VLOOKUP(S768,VALORACION!F:G,2,FALSE))</f>
        <v/>
      </c>
      <c r="U768" s="11"/>
      <c r="V768" s="80" t="str">
        <f>IF(U768="","",VLOOKUP(U768,ROLES!G:H,2,FALSE))</f>
        <v/>
      </c>
      <c r="W768" s="11"/>
      <c r="X768" s="80" t="str">
        <f>IF(W768="","",VLOOKUP(W768,ROLES!I:J,2,FALSE))</f>
        <v/>
      </c>
      <c r="Y768" s="95" t="e">
        <f t="shared" si="23"/>
        <v>#VALUE!</v>
      </c>
      <c r="Z768" s="6"/>
      <c r="AA768" s="6"/>
    </row>
    <row r="769" spans="1:27" ht="28.95" customHeight="1" x14ac:dyDescent="0.3">
      <c r="A769" s="91"/>
      <c r="B769" s="91"/>
      <c r="C769" s="80"/>
      <c r="D769" s="91"/>
      <c r="E769" s="80"/>
      <c r="F769" s="6"/>
      <c r="G769" s="6"/>
      <c r="H769" s="25"/>
      <c r="I769" s="133"/>
      <c r="J769" s="6"/>
      <c r="K769" s="6"/>
      <c r="L769" s="6"/>
      <c r="M769" s="6"/>
      <c r="N769" s="84"/>
      <c r="O769" s="80" t="str">
        <f>IF(N769="","",VLOOKUP(N769,ROLES!B:C,2,FALSE))</f>
        <v/>
      </c>
      <c r="P769" s="15"/>
      <c r="Q769" s="15"/>
      <c r="R769" s="16">
        <f t="shared" si="24"/>
        <v>0</v>
      </c>
      <c r="S769" s="16"/>
      <c r="T769" s="80" t="str">
        <f>IF(S769="","",VLOOKUP(S769,VALORACION!F:G,2,FALSE))</f>
        <v/>
      </c>
      <c r="U769" s="11"/>
      <c r="V769" s="80" t="str">
        <f>IF(U769="","",VLOOKUP(U769,ROLES!G:H,2,FALSE))</f>
        <v/>
      </c>
      <c r="W769" s="11"/>
      <c r="X769" s="80" t="str">
        <f>IF(W769="","",VLOOKUP(W769,ROLES!I:J,2,FALSE))</f>
        <v/>
      </c>
      <c r="Y769" s="95" t="e">
        <f t="shared" si="23"/>
        <v>#VALUE!</v>
      </c>
      <c r="Z769" s="6"/>
      <c r="AA769" s="6"/>
    </row>
    <row r="770" spans="1:27" ht="28.95" customHeight="1" x14ac:dyDescent="0.3">
      <c r="A770" s="91"/>
      <c r="B770" s="91"/>
      <c r="C770" s="80"/>
      <c r="D770" s="91"/>
      <c r="E770" s="80"/>
      <c r="F770" s="6"/>
      <c r="G770" s="6"/>
      <c r="H770" s="25"/>
      <c r="I770" s="133"/>
      <c r="J770" s="6"/>
      <c r="K770" s="6"/>
      <c r="L770" s="6"/>
      <c r="M770" s="6"/>
      <c r="N770" s="84"/>
      <c r="O770" s="80" t="str">
        <f>IF(N770="","",VLOOKUP(N770,ROLES!B:C,2,FALSE))</f>
        <v/>
      </c>
      <c r="P770" s="15"/>
      <c r="Q770" s="15"/>
      <c r="R770" s="16">
        <f t="shared" si="24"/>
        <v>0</v>
      </c>
      <c r="S770" s="16"/>
      <c r="T770" s="80" t="str">
        <f>IF(S770="","",VLOOKUP(S770,VALORACION!F:G,2,FALSE))</f>
        <v/>
      </c>
      <c r="U770" s="11"/>
      <c r="V770" s="80" t="str">
        <f>IF(U770="","",VLOOKUP(U770,ROLES!G:H,2,FALSE))</f>
        <v/>
      </c>
      <c r="W770" s="11"/>
      <c r="X770" s="80" t="str">
        <f>IF(W770="","",VLOOKUP(W770,ROLES!I:J,2,FALSE))</f>
        <v/>
      </c>
      <c r="Y770" s="95" t="e">
        <f t="shared" si="23"/>
        <v>#VALUE!</v>
      </c>
      <c r="Z770" s="6"/>
      <c r="AA770" s="6"/>
    </row>
    <row r="771" spans="1:27" ht="28.95" customHeight="1" x14ac:dyDescent="0.3">
      <c r="A771" s="91"/>
      <c r="B771" s="91"/>
      <c r="C771" s="80"/>
      <c r="D771" s="91"/>
      <c r="E771" s="80"/>
      <c r="F771" s="6"/>
      <c r="G771" s="6"/>
      <c r="H771" s="25"/>
      <c r="I771" s="133"/>
      <c r="J771" s="6"/>
      <c r="K771" s="6"/>
      <c r="L771" s="6"/>
      <c r="M771" s="6"/>
      <c r="N771" s="84"/>
      <c r="O771" s="80" t="str">
        <f>IF(N771="","",VLOOKUP(N771,ROLES!B:C,2,FALSE))</f>
        <v/>
      </c>
      <c r="P771" s="15"/>
      <c r="Q771" s="15"/>
      <c r="R771" s="16">
        <f t="shared" si="24"/>
        <v>0</v>
      </c>
      <c r="S771" s="16"/>
      <c r="T771" s="80" t="str">
        <f>IF(S771="","",VLOOKUP(S771,VALORACION!F:G,2,FALSE))</f>
        <v/>
      </c>
      <c r="U771" s="11"/>
      <c r="V771" s="80" t="str">
        <f>IF(U771="","",VLOOKUP(U771,ROLES!G:H,2,FALSE))</f>
        <v/>
      </c>
      <c r="W771" s="11"/>
      <c r="X771" s="80" t="str">
        <f>IF(W771="","",VLOOKUP(W771,ROLES!I:J,2,FALSE))</f>
        <v/>
      </c>
      <c r="Y771" s="95" t="e">
        <f t="shared" si="23"/>
        <v>#VALUE!</v>
      </c>
      <c r="Z771" s="6"/>
      <c r="AA771" s="6"/>
    </row>
    <row r="772" spans="1:27" ht="28.95" customHeight="1" x14ac:dyDescent="0.3">
      <c r="A772" s="91"/>
      <c r="B772" s="91"/>
      <c r="C772" s="80"/>
      <c r="D772" s="91"/>
      <c r="E772" s="80"/>
      <c r="F772" s="6"/>
      <c r="G772" s="6"/>
      <c r="H772" s="25"/>
      <c r="I772" s="133"/>
      <c r="J772" s="6"/>
      <c r="K772" s="6"/>
      <c r="L772" s="6"/>
      <c r="M772" s="6"/>
      <c r="N772" s="84"/>
      <c r="O772" s="80" t="str">
        <f>IF(N772="","",VLOOKUP(N772,ROLES!B:C,2,FALSE))</f>
        <v/>
      </c>
      <c r="P772" s="15"/>
      <c r="Q772" s="15"/>
      <c r="R772" s="16">
        <f t="shared" si="24"/>
        <v>0</v>
      </c>
      <c r="S772" s="16"/>
      <c r="T772" s="80" t="str">
        <f>IF(S772="","",VLOOKUP(S772,VALORACION!F:G,2,FALSE))</f>
        <v/>
      </c>
      <c r="U772" s="11"/>
      <c r="V772" s="80" t="str">
        <f>IF(U772="","",VLOOKUP(U772,ROLES!G:H,2,FALSE))</f>
        <v/>
      </c>
      <c r="W772" s="11"/>
      <c r="X772" s="80" t="str">
        <f>IF(W772="","",VLOOKUP(W772,ROLES!I:J,2,FALSE))</f>
        <v/>
      </c>
      <c r="Y772" s="95" t="e">
        <f t="shared" si="23"/>
        <v>#VALUE!</v>
      </c>
      <c r="Z772" s="6"/>
      <c r="AA772" s="6"/>
    </row>
    <row r="773" spans="1:27" ht="28.95" customHeight="1" x14ac:dyDescent="0.3">
      <c r="A773" s="91"/>
      <c r="B773" s="91"/>
      <c r="C773" s="80"/>
      <c r="D773" s="91"/>
      <c r="E773" s="80"/>
      <c r="F773" s="6"/>
      <c r="G773" s="6"/>
      <c r="H773" s="25"/>
      <c r="I773" s="133"/>
      <c r="J773" s="6"/>
      <c r="K773" s="6"/>
      <c r="L773" s="6"/>
      <c r="M773" s="6"/>
      <c r="N773" s="84"/>
      <c r="O773" s="80" t="str">
        <f>IF(N773="","",VLOOKUP(N773,ROLES!B:C,2,FALSE))</f>
        <v/>
      </c>
      <c r="P773" s="15"/>
      <c r="Q773" s="15"/>
      <c r="R773" s="16">
        <f t="shared" si="24"/>
        <v>0</v>
      </c>
      <c r="S773" s="16"/>
      <c r="T773" s="80" t="str">
        <f>IF(S773="","",VLOOKUP(S773,VALORACION!F:G,2,FALSE))</f>
        <v/>
      </c>
      <c r="U773" s="11"/>
      <c r="V773" s="80" t="str">
        <f>IF(U773="","",VLOOKUP(U773,ROLES!G:H,2,FALSE))</f>
        <v/>
      </c>
      <c r="W773" s="11"/>
      <c r="X773" s="80" t="str">
        <f>IF(W773="","",VLOOKUP(W773,ROLES!I:J,2,FALSE))</f>
        <v/>
      </c>
      <c r="Y773" s="95" t="e">
        <f t="shared" ref="Y773:Y836" si="25">(VALUE(O773)+VALUE(V773)+VALUE(X773)+VALUE(T773))/3</f>
        <v>#VALUE!</v>
      </c>
      <c r="Z773" s="6"/>
      <c r="AA773" s="6"/>
    </row>
    <row r="774" spans="1:27" ht="28.95" customHeight="1" x14ac:dyDescent="0.3">
      <c r="A774" s="91"/>
      <c r="B774" s="91"/>
      <c r="C774" s="80"/>
      <c r="D774" s="91"/>
      <c r="E774" s="80"/>
      <c r="F774" s="6"/>
      <c r="G774" s="6"/>
      <c r="H774" s="25"/>
      <c r="I774" s="133"/>
      <c r="J774" s="6"/>
      <c r="K774" s="6"/>
      <c r="L774" s="6"/>
      <c r="M774" s="6"/>
      <c r="N774" s="84"/>
      <c r="O774" s="80" t="str">
        <f>IF(N774="","",VLOOKUP(N774,ROLES!B:C,2,FALSE))</f>
        <v/>
      </c>
      <c r="P774" s="15"/>
      <c r="Q774" s="15"/>
      <c r="R774" s="16">
        <f t="shared" si="24"/>
        <v>0</v>
      </c>
      <c r="S774" s="16"/>
      <c r="T774" s="80" t="str">
        <f>IF(S774="","",VLOOKUP(S774,VALORACION!F:G,2,FALSE))</f>
        <v/>
      </c>
      <c r="U774" s="11"/>
      <c r="V774" s="80" t="str">
        <f>IF(U774="","",VLOOKUP(U774,ROLES!G:H,2,FALSE))</f>
        <v/>
      </c>
      <c r="W774" s="11"/>
      <c r="X774" s="80" t="str">
        <f>IF(W774="","",VLOOKUP(W774,ROLES!I:J,2,FALSE))</f>
        <v/>
      </c>
      <c r="Y774" s="95" t="e">
        <f t="shared" si="25"/>
        <v>#VALUE!</v>
      </c>
      <c r="Z774" s="6"/>
      <c r="AA774" s="6"/>
    </row>
    <row r="775" spans="1:27" ht="28.95" customHeight="1" x14ac:dyDescent="0.3">
      <c r="A775" s="91"/>
      <c r="B775" s="91"/>
      <c r="C775" s="80"/>
      <c r="D775" s="91"/>
      <c r="E775" s="80"/>
      <c r="F775" s="6"/>
      <c r="G775" s="6"/>
      <c r="H775" s="25"/>
      <c r="I775" s="133"/>
      <c r="J775" s="6"/>
      <c r="K775" s="6"/>
      <c r="L775" s="6"/>
      <c r="M775" s="6"/>
      <c r="N775" s="84"/>
      <c r="O775" s="80" t="str">
        <f>IF(N775="","",VLOOKUP(N775,ROLES!B:C,2,FALSE))</f>
        <v/>
      </c>
      <c r="P775" s="15"/>
      <c r="Q775" s="15"/>
      <c r="R775" s="16">
        <f t="shared" ref="R775:R838" si="26">DATEDIF(P775,Q775,"m")</f>
        <v>0</v>
      </c>
      <c r="S775" s="16"/>
      <c r="T775" s="80" t="str">
        <f>IF(S775="","",VLOOKUP(S775,VALORACION!F:G,2,FALSE))</f>
        <v/>
      </c>
      <c r="U775" s="11"/>
      <c r="V775" s="80" t="str">
        <f>IF(U775="","",VLOOKUP(U775,ROLES!G:H,2,FALSE))</f>
        <v/>
      </c>
      <c r="W775" s="11"/>
      <c r="X775" s="80" t="str">
        <f>IF(W775="","",VLOOKUP(W775,ROLES!I:J,2,FALSE))</f>
        <v/>
      </c>
      <c r="Y775" s="95" t="e">
        <f t="shared" si="25"/>
        <v>#VALUE!</v>
      </c>
      <c r="Z775" s="6"/>
      <c r="AA775" s="6"/>
    </row>
    <row r="776" spans="1:27" ht="28.95" customHeight="1" x14ac:dyDescent="0.3">
      <c r="A776" s="91"/>
      <c r="B776" s="91"/>
      <c r="C776" s="80"/>
      <c r="D776" s="91"/>
      <c r="E776" s="80"/>
      <c r="F776" s="6"/>
      <c r="G776" s="6"/>
      <c r="H776" s="25"/>
      <c r="I776" s="133"/>
      <c r="J776" s="6"/>
      <c r="K776" s="6"/>
      <c r="L776" s="6"/>
      <c r="M776" s="6"/>
      <c r="N776" s="84"/>
      <c r="O776" s="80" t="str">
        <f>IF(N776="","",VLOOKUP(N776,ROLES!B:C,2,FALSE))</f>
        <v/>
      </c>
      <c r="P776" s="15"/>
      <c r="Q776" s="15"/>
      <c r="R776" s="16">
        <f t="shared" si="26"/>
        <v>0</v>
      </c>
      <c r="S776" s="16"/>
      <c r="T776" s="80" t="str">
        <f>IF(S776="","",VLOOKUP(S776,VALORACION!F:G,2,FALSE))</f>
        <v/>
      </c>
      <c r="U776" s="11"/>
      <c r="V776" s="80" t="str">
        <f>IF(U776="","",VLOOKUP(U776,ROLES!G:H,2,FALSE))</f>
        <v/>
      </c>
      <c r="W776" s="11"/>
      <c r="X776" s="80" t="str">
        <f>IF(W776="","",VLOOKUP(W776,ROLES!I:J,2,FALSE))</f>
        <v/>
      </c>
      <c r="Y776" s="95" t="e">
        <f t="shared" si="25"/>
        <v>#VALUE!</v>
      </c>
      <c r="Z776" s="6"/>
      <c r="AA776" s="6"/>
    </row>
    <row r="777" spans="1:27" ht="28.95" customHeight="1" x14ac:dyDescent="0.3">
      <c r="A777" s="91"/>
      <c r="B777" s="91"/>
      <c r="C777" s="80"/>
      <c r="D777" s="91"/>
      <c r="E777" s="80"/>
      <c r="F777" s="6"/>
      <c r="G777" s="6"/>
      <c r="H777" s="25"/>
      <c r="I777" s="133"/>
      <c r="J777" s="6"/>
      <c r="K777" s="6"/>
      <c r="L777" s="6"/>
      <c r="M777" s="6"/>
      <c r="N777" s="84"/>
      <c r="O777" s="80" t="str">
        <f>IF(N777="","",VLOOKUP(N777,ROLES!B:C,2,FALSE))</f>
        <v/>
      </c>
      <c r="P777" s="15"/>
      <c r="Q777" s="15"/>
      <c r="R777" s="16">
        <f t="shared" si="26"/>
        <v>0</v>
      </c>
      <c r="S777" s="16"/>
      <c r="T777" s="80" t="str">
        <f>IF(S777="","",VLOOKUP(S777,VALORACION!F:G,2,FALSE))</f>
        <v/>
      </c>
      <c r="U777" s="11"/>
      <c r="V777" s="80" t="str">
        <f>IF(U777="","",VLOOKUP(U777,ROLES!G:H,2,FALSE))</f>
        <v/>
      </c>
      <c r="W777" s="11"/>
      <c r="X777" s="80" t="str">
        <f>IF(W777="","",VLOOKUP(W777,ROLES!I:J,2,FALSE))</f>
        <v/>
      </c>
      <c r="Y777" s="95" t="e">
        <f t="shared" si="25"/>
        <v>#VALUE!</v>
      </c>
      <c r="Z777" s="6"/>
      <c r="AA777" s="6"/>
    </row>
    <row r="778" spans="1:27" ht="28.95" customHeight="1" x14ac:dyDescent="0.3">
      <c r="A778" s="91"/>
      <c r="B778" s="91"/>
      <c r="C778" s="80"/>
      <c r="D778" s="91"/>
      <c r="E778" s="80"/>
      <c r="F778" s="6"/>
      <c r="G778" s="6"/>
      <c r="H778" s="25"/>
      <c r="I778" s="133"/>
      <c r="J778" s="6"/>
      <c r="K778" s="6"/>
      <c r="L778" s="6"/>
      <c r="M778" s="6"/>
      <c r="N778" s="84"/>
      <c r="O778" s="80" t="str">
        <f>IF(N778="","",VLOOKUP(N778,ROLES!B:C,2,FALSE))</f>
        <v/>
      </c>
      <c r="P778" s="15"/>
      <c r="Q778" s="15"/>
      <c r="R778" s="16">
        <f t="shared" si="26"/>
        <v>0</v>
      </c>
      <c r="S778" s="16"/>
      <c r="T778" s="80" t="str">
        <f>IF(S778="","",VLOOKUP(S778,VALORACION!F:G,2,FALSE))</f>
        <v/>
      </c>
      <c r="U778" s="11"/>
      <c r="V778" s="80" t="str">
        <f>IF(U778="","",VLOOKUP(U778,ROLES!G:H,2,FALSE))</f>
        <v/>
      </c>
      <c r="W778" s="11"/>
      <c r="X778" s="80" t="str">
        <f>IF(W778="","",VLOOKUP(W778,ROLES!I:J,2,FALSE))</f>
        <v/>
      </c>
      <c r="Y778" s="95" t="e">
        <f t="shared" si="25"/>
        <v>#VALUE!</v>
      </c>
      <c r="Z778" s="6"/>
      <c r="AA778" s="6"/>
    </row>
    <row r="779" spans="1:27" ht="28.95" customHeight="1" x14ac:dyDescent="0.3">
      <c r="A779" s="91"/>
      <c r="B779" s="91"/>
      <c r="C779" s="80"/>
      <c r="D779" s="91"/>
      <c r="E779" s="80"/>
      <c r="F779" s="6"/>
      <c r="G779" s="6"/>
      <c r="H779" s="25"/>
      <c r="I779" s="133"/>
      <c r="J779" s="6"/>
      <c r="K779" s="6"/>
      <c r="L779" s="6"/>
      <c r="M779" s="6"/>
      <c r="N779" s="84"/>
      <c r="O779" s="80" t="str">
        <f>IF(N779="","",VLOOKUP(N779,ROLES!B:C,2,FALSE))</f>
        <v/>
      </c>
      <c r="P779" s="15"/>
      <c r="Q779" s="15"/>
      <c r="R779" s="16">
        <f t="shared" si="26"/>
        <v>0</v>
      </c>
      <c r="S779" s="16"/>
      <c r="T779" s="80" t="str">
        <f>IF(S779="","",VLOOKUP(S779,VALORACION!F:G,2,FALSE))</f>
        <v/>
      </c>
      <c r="U779" s="11"/>
      <c r="V779" s="80" t="str">
        <f>IF(U779="","",VLOOKUP(U779,ROLES!G:H,2,FALSE))</f>
        <v/>
      </c>
      <c r="W779" s="11"/>
      <c r="X779" s="80" t="str">
        <f>IF(W779="","",VLOOKUP(W779,ROLES!I:J,2,FALSE))</f>
        <v/>
      </c>
      <c r="Y779" s="95" t="e">
        <f t="shared" si="25"/>
        <v>#VALUE!</v>
      </c>
      <c r="Z779" s="6"/>
      <c r="AA779" s="6"/>
    </row>
    <row r="780" spans="1:27" ht="28.95" customHeight="1" x14ac:dyDescent="0.3">
      <c r="A780" s="91"/>
      <c r="B780" s="91"/>
      <c r="C780" s="80"/>
      <c r="D780" s="91"/>
      <c r="E780" s="80"/>
      <c r="F780" s="6"/>
      <c r="G780" s="6"/>
      <c r="H780" s="25"/>
      <c r="I780" s="133"/>
      <c r="J780" s="6"/>
      <c r="K780" s="6"/>
      <c r="L780" s="6"/>
      <c r="M780" s="6"/>
      <c r="N780" s="84"/>
      <c r="O780" s="80" t="str">
        <f>IF(N780="","",VLOOKUP(N780,ROLES!B:C,2,FALSE))</f>
        <v/>
      </c>
      <c r="P780" s="15"/>
      <c r="Q780" s="15"/>
      <c r="R780" s="16">
        <f t="shared" si="26"/>
        <v>0</v>
      </c>
      <c r="S780" s="16"/>
      <c r="T780" s="80" t="str">
        <f>IF(S780="","",VLOOKUP(S780,VALORACION!F:G,2,FALSE))</f>
        <v/>
      </c>
      <c r="U780" s="11"/>
      <c r="V780" s="80" t="str">
        <f>IF(U780="","",VLOOKUP(U780,ROLES!G:H,2,FALSE))</f>
        <v/>
      </c>
      <c r="W780" s="11"/>
      <c r="X780" s="80" t="str">
        <f>IF(W780="","",VLOOKUP(W780,ROLES!I:J,2,FALSE))</f>
        <v/>
      </c>
      <c r="Y780" s="95" t="e">
        <f t="shared" si="25"/>
        <v>#VALUE!</v>
      </c>
      <c r="Z780" s="6"/>
      <c r="AA780" s="6"/>
    </row>
    <row r="781" spans="1:27" ht="28.95" customHeight="1" x14ac:dyDescent="0.3">
      <c r="A781" s="91"/>
      <c r="B781" s="91"/>
      <c r="C781" s="80"/>
      <c r="D781" s="91"/>
      <c r="E781" s="80"/>
      <c r="F781" s="6"/>
      <c r="G781" s="6"/>
      <c r="H781" s="25"/>
      <c r="I781" s="133"/>
      <c r="J781" s="6"/>
      <c r="K781" s="6"/>
      <c r="L781" s="6"/>
      <c r="M781" s="6"/>
      <c r="N781" s="84"/>
      <c r="O781" s="80" t="str">
        <f>IF(N781="","",VLOOKUP(N781,ROLES!B:C,2,FALSE))</f>
        <v/>
      </c>
      <c r="P781" s="15"/>
      <c r="Q781" s="15"/>
      <c r="R781" s="16">
        <f t="shared" si="26"/>
        <v>0</v>
      </c>
      <c r="S781" s="16"/>
      <c r="T781" s="80" t="str">
        <f>IF(S781="","",VLOOKUP(S781,VALORACION!F:G,2,FALSE))</f>
        <v/>
      </c>
      <c r="U781" s="11"/>
      <c r="V781" s="80" t="str">
        <f>IF(U781="","",VLOOKUP(U781,ROLES!G:H,2,FALSE))</f>
        <v/>
      </c>
      <c r="W781" s="11"/>
      <c r="X781" s="80" t="str">
        <f>IF(W781="","",VLOOKUP(W781,ROLES!I:J,2,FALSE))</f>
        <v/>
      </c>
      <c r="Y781" s="95" t="e">
        <f t="shared" si="25"/>
        <v>#VALUE!</v>
      </c>
      <c r="Z781" s="6"/>
      <c r="AA781" s="6"/>
    </row>
    <row r="782" spans="1:27" ht="28.95" customHeight="1" x14ac:dyDescent="0.3">
      <c r="A782" s="91"/>
      <c r="B782" s="91"/>
      <c r="C782" s="80"/>
      <c r="D782" s="91"/>
      <c r="E782" s="80"/>
      <c r="F782" s="6"/>
      <c r="G782" s="6"/>
      <c r="H782" s="25"/>
      <c r="I782" s="133"/>
      <c r="J782" s="6"/>
      <c r="K782" s="6"/>
      <c r="L782" s="6"/>
      <c r="M782" s="6"/>
      <c r="N782" s="84"/>
      <c r="O782" s="80" t="str">
        <f>IF(N782="","",VLOOKUP(N782,ROLES!B:C,2,FALSE))</f>
        <v/>
      </c>
      <c r="P782" s="15"/>
      <c r="Q782" s="15"/>
      <c r="R782" s="16">
        <f t="shared" si="26"/>
        <v>0</v>
      </c>
      <c r="S782" s="16"/>
      <c r="T782" s="80" t="str">
        <f>IF(S782="","",VLOOKUP(S782,VALORACION!F:G,2,FALSE))</f>
        <v/>
      </c>
      <c r="U782" s="11"/>
      <c r="V782" s="80" t="str">
        <f>IF(U782="","",VLOOKUP(U782,ROLES!G:H,2,FALSE))</f>
        <v/>
      </c>
      <c r="W782" s="11"/>
      <c r="X782" s="80" t="str">
        <f>IF(W782="","",VLOOKUP(W782,ROLES!I:J,2,FALSE))</f>
        <v/>
      </c>
      <c r="Y782" s="95" t="e">
        <f t="shared" si="25"/>
        <v>#VALUE!</v>
      </c>
      <c r="Z782" s="6"/>
      <c r="AA782" s="6"/>
    </row>
    <row r="783" spans="1:27" ht="28.95" customHeight="1" x14ac:dyDescent="0.3">
      <c r="A783" s="91"/>
      <c r="B783" s="91"/>
      <c r="C783" s="80"/>
      <c r="D783" s="91"/>
      <c r="E783" s="80"/>
      <c r="F783" s="6"/>
      <c r="G783" s="6"/>
      <c r="H783" s="25"/>
      <c r="I783" s="133"/>
      <c r="J783" s="6"/>
      <c r="K783" s="6"/>
      <c r="L783" s="6"/>
      <c r="M783" s="6"/>
      <c r="N783" s="84"/>
      <c r="O783" s="80" t="str">
        <f>IF(N783="","",VLOOKUP(N783,ROLES!B:C,2,FALSE))</f>
        <v/>
      </c>
      <c r="P783" s="15"/>
      <c r="Q783" s="15"/>
      <c r="R783" s="16">
        <f t="shared" si="26"/>
        <v>0</v>
      </c>
      <c r="S783" s="16"/>
      <c r="T783" s="80" t="str">
        <f>IF(S783="","",VLOOKUP(S783,VALORACION!F:G,2,FALSE))</f>
        <v/>
      </c>
      <c r="U783" s="11"/>
      <c r="V783" s="80" t="str">
        <f>IF(U783="","",VLOOKUP(U783,ROLES!G:H,2,FALSE))</f>
        <v/>
      </c>
      <c r="W783" s="11"/>
      <c r="X783" s="80" t="str">
        <f>IF(W783="","",VLOOKUP(W783,ROLES!I:J,2,FALSE))</f>
        <v/>
      </c>
      <c r="Y783" s="95" t="e">
        <f t="shared" si="25"/>
        <v>#VALUE!</v>
      </c>
      <c r="Z783" s="6"/>
      <c r="AA783" s="6"/>
    </row>
    <row r="784" spans="1:27" ht="28.95" customHeight="1" x14ac:dyDescent="0.3">
      <c r="A784" s="91"/>
      <c r="B784" s="91"/>
      <c r="C784" s="80"/>
      <c r="D784" s="91"/>
      <c r="E784" s="80"/>
      <c r="F784" s="6"/>
      <c r="G784" s="6"/>
      <c r="H784" s="25"/>
      <c r="I784" s="133"/>
      <c r="J784" s="6"/>
      <c r="K784" s="6"/>
      <c r="L784" s="6"/>
      <c r="M784" s="6"/>
      <c r="N784" s="84"/>
      <c r="O784" s="80" t="str">
        <f>IF(N784="","",VLOOKUP(N784,ROLES!B:C,2,FALSE))</f>
        <v/>
      </c>
      <c r="P784" s="6"/>
      <c r="Q784" s="6"/>
      <c r="R784" s="16">
        <f t="shared" si="26"/>
        <v>0</v>
      </c>
      <c r="S784" s="16"/>
      <c r="T784" s="80" t="str">
        <f>IF(S784="","",VLOOKUP(S784,VALORACION!F:G,2,FALSE))</f>
        <v/>
      </c>
      <c r="U784" s="11"/>
      <c r="V784" s="80" t="str">
        <f>IF(U784="","",VLOOKUP(U784,ROLES!G:H,2,FALSE))</f>
        <v/>
      </c>
      <c r="W784" s="6"/>
      <c r="X784" s="6"/>
      <c r="Y784" s="95" t="e">
        <f t="shared" si="25"/>
        <v>#VALUE!</v>
      </c>
      <c r="Z784" s="6"/>
      <c r="AA784" s="6"/>
    </row>
    <row r="785" spans="1:27" ht="28.95" customHeight="1" x14ac:dyDescent="0.3">
      <c r="A785" s="91"/>
      <c r="B785" s="91"/>
      <c r="C785" s="80"/>
      <c r="D785" s="91"/>
      <c r="E785" s="80"/>
      <c r="F785" s="6"/>
      <c r="G785" s="6"/>
      <c r="H785" s="25"/>
      <c r="I785" s="133"/>
      <c r="J785" s="6"/>
      <c r="K785" s="6"/>
      <c r="L785" s="6"/>
      <c r="M785" s="6"/>
      <c r="N785" s="84"/>
      <c r="O785" s="80" t="str">
        <f>IF(N785="","",VLOOKUP(N785,ROLES!B:C,2,FALSE))</f>
        <v/>
      </c>
      <c r="P785" s="6"/>
      <c r="Q785" s="6"/>
      <c r="R785" s="16">
        <f t="shared" si="26"/>
        <v>0</v>
      </c>
      <c r="S785" s="16"/>
      <c r="T785" s="80" t="str">
        <f>IF(S785="","",VLOOKUP(S785,VALORACION!F:G,2,FALSE))</f>
        <v/>
      </c>
      <c r="U785" s="11"/>
      <c r="V785" s="80" t="str">
        <f>IF(U785="","",VLOOKUP(U785,ROLES!G:H,2,FALSE))</f>
        <v/>
      </c>
      <c r="W785" s="6"/>
      <c r="X785" s="6"/>
      <c r="Y785" s="95" t="e">
        <f t="shared" si="25"/>
        <v>#VALUE!</v>
      </c>
      <c r="Z785" s="6"/>
      <c r="AA785" s="6"/>
    </row>
    <row r="786" spans="1:27" ht="28.95" customHeight="1" x14ac:dyDescent="0.3">
      <c r="A786" s="91"/>
      <c r="B786" s="91"/>
      <c r="C786" s="80"/>
      <c r="D786" s="91"/>
      <c r="E786" s="80"/>
      <c r="F786" s="6"/>
      <c r="G786" s="6"/>
      <c r="H786" s="25"/>
      <c r="I786" s="133"/>
      <c r="J786" s="6"/>
      <c r="K786" s="6"/>
      <c r="L786" s="6"/>
      <c r="M786" s="6"/>
      <c r="N786" s="84"/>
      <c r="O786" s="80" t="str">
        <f>IF(N786="","",VLOOKUP(N786,ROLES!B:C,2,FALSE))</f>
        <v/>
      </c>
      <c r="P786" s="6"/>
      <c r="Q786" s="6"/>
      <c r="R786" s="16">
        <f t="shared" si="26"/>
        <v>0</v>
      </c>
      <c r="S786" s="16"/>
      <c r="T786" s="80" t="str">
        <f>IF(S786="","",VLOOKUP(S786,VALORACION!F:G,2,FALSE))</f>
        <v/>
      </c>
      <c r="U786" s="11"/>
      <c r="V786" s="80" t="str">
        <f>IF(U786="","",VLOOKUP(U786,ROLES!G:H,2,FALSE))</f>
        <v/>
      </c>
      <c r="W786" s="6"/>
      <c r="X786" s="6"/>
      <c r="Y786" s="95" t="e">
        <f t="shared" si="25"/>
        <v>#VALUE!</v>
      </c>
      <c r="Z786" s="6"/>
      <c r="AA786" s="6"/>
    </row>
    <row r="787" spans="1:27" ht="28.95" customHeight="1" x14ac:dyDescent="0.3">
      <c r="A787" s="91"/>
      <c r="B787" s="91"/>
      <c r="C787" s="80"/>
      <c r="D787" s="91"/>
      <c r="E787" s="80"/>
      <c r="F787" s="6"/>
      <c r="G787" s="6"/>
      <c r="H787" s="25"/>
      <c r="I787" s="133"/>
      <c r="J787" s="6"/>
      <c r="K787" s="6"/>
      <c r="L787" s="6"/>
      <c r="M787" s="6"/>
      <c r="N787" s="84"/>
      <c r="O787" s="80" t="str">
        <f>IF(N787="","",VLOOKUP(N787,ROLES!B:C,2,FALSE))</f>
        <v/>
      </c>
      <c r="P787" s="6"/>
      <c r="Q787" s="6"/>
      <c r="R787" s="16">
        <f t="shared" si="26"/>
        <v>0</v>
      </c>
      <c r="S787" s="16"/>
      <c r="T787" s="80" t="str">
        <f>IF(S787="","",VLOOKUP(S787,VALORACION!F:G,2,FALSE))</f>
        <v/>
      </c>
      <c r="U787" s="11"/>
      <c r="V787" s="80" t="str">
        <f>IF(U787="","",VLOOKUP(U787,ROLES!G:H,2,FALSE))</f>
        <v/>
      </c>
      <c r="W787" s="6"/>
      <c r="X787" s="6"/>
      <c r="Y787" s="95" t="e">
        <f t="shared" si="25"/>
        <v>#VALUE!</v>
      </c>
      <c r="Z787" s="6"/>
      <c r="AA787" s="6"/>
    </row>
    <row r="788" spans="1:27" ht="28.95" customHeight="1" x14ac:dyDescent="0.3">
      <c r="A788" s="91"/>
      <c r="B788" s="91"/>
      <c r="C788" s="80"/>
      <c r="D788" s="91"/>
      <c r="E788" s="80"/>
      <c r="F788" s="6"/>
      <c r="G788" s="6"/>
      <c r="H788" s="25"/>
      <c r="I788" s="133"/>
      <c r="J788" s="6"/>
      <c r="K788" s="6"/>
      <c r="L788" s="6"/>
      <c r="M788" s="6"/>
      <c r="N788" s="84"/>
      <c r="O788" s="80" t="str">
        <f>IF(N788="","",VLOOKUP(N788,ROLES!B:C,2,FALSE))</f>
        <v/>
      </c>
      <c r="P788" s="6"/>
      <c r="Q788" s="6"/>
      <c r="R788" s="16">
        <f t="shared" si="26"/>
        <v>0</v>
      </c>
      <c r="S788" s="16"/>
      <c r="T788" s="80" t="str">
        <f>IF(S788="","",VLOOKUP(S788,VALORACION!F:G,2,FALSE))</f>
        <v/>
      </c>
      <c r="U788" s="11"/>
      <c r="V788" s="80" t="str">
        <f>IF(U788="","",VLOOKUP(U788,ROLES!G:H,2,FALSE))</f>
        <v/>
      </c>
      <c r="W788" s="6"/>
      <c r="X788" s="6"/>
      <c r="Y788" s="95" t="e">
        <f t="shared" si="25"/>
        <v>#VALUE!</v>
      </c>
      <c r="Z788" s="6"/>
      <c r="AA788" s="6"/>
    </row>
    <row r="789" spans="1:27" ht="28.95" customHeight="1" x14ac:dyDescent="0.3">
      <c r="A789" s="91"/>
      <c r="B789" s="91"/>
      <c r="C789" s="80"/>
      <c r="D789" s="91"/>
      <c r="E789" s="80"/>
      <c r="F789" s="6"/>
      <c r="G789" s="6"/>
      <c r="H789" s="25"/>
      <c r="I789" s="133"/>
      <c r="J789" s="6"/>
      <c r="K789" s="6"/>
      <c r="L789" s="6"/>
      <c r="M789" s="6"/>
      <c r="N789" s="84"/>
      <c r="O789" s="80" t="str">
        <f>IF(N789="","",VLOOKUP(N789,ROLES!B:C,2,FALSE))</f>
        <v/>
      </c>
      <c r="P789" s="6"/>
      <c r="Q789" s="6"/>
      <c r="R789" s="16">
        <f t="shared" si="26"/>
        <v>0</v>
      </c>
      <c r="S789" s="16"/>
      <c r="T789" s="80" t="str">
        <f>IF(S789="","",VLOOKUP(S789,VALORACION!F:G,2,FALSE))</f>
        <v/>
      </c>
      <c r="U789" s="11"/>
      <c r="V789" s="80" t="str">
        <f>IF(U789="","",VLOOKUP(U789,ROLES!G:H,2,FALSE))</f>
        <v/>
      </c>
      <c r="W789" s="6"/>
      <c r="X789" s="6"/>
      <c r="Y789" s="95" t="e">
        <f t="shared" si="25"/>
        <v>#VALUE!</v>
      </c>
      <c r="Z789" s="6"/>
      <c r="AA789" s="6"/>
    </row>
    <row r="790" spans="1:27" ht="28.95" customHeight="1" x14ac:dyDescent="0.3">
      <c r="A790" s="91"/>
      <c r="B790" s="91"/>
      <c r="C790" s="80"/>
      <c r="D790" s="91"/>
      <c r="E790" s="80"/>
      <c r="F790" s="6"/>
      <c r="G790" s="6"/>
      <c r="H790" s="25"/>
      <c r="I790" s="133"/>
      <c r="J790" s="6"/>
      <c r="K790" s="6"/>
      <c r="L790" s="6"/>
      <c r="M790" s="6"/>
      <c r="N790" s="84"/>
      <c r="O790" s="80" t="str">
        <f>IF(N790="","",VLOOKUP(N790,ROLES!B:C,2,FALSE))</f>
        <v/>
      </c>
      <c r="P790" s="6"/>
      <c r="Q790" s="6"/>
      <c r="R790" s="16">
        <f t="shared" si="26"/>
        <v>0</v>
      </c>
      <c r="S790" s="16"/>
      <c r="T790" s="80" t="str">
        <f>IF(S790="","",VLOOKUP(S790,VALORACION!F:G,2,FALSE))</f>
        <v/>
      </c>
      <c r="U790" s="11"/>
      <c r="V790" s="80" t="str">
        <f>IF(U790="","",VLOOKUP(U790,ROLES!G:H,2,FALSE))</f>
        <v/>
      </c>
      <c r="W790" s="6"/>
      <c r="X790" s="6"/>
      <c r="Y790" s="95" t="e">
        <f t="shared" si="25"/>
        <v>#VALUE!</v>
      </c>
      <c r="Z790" s="6"/>
      <c r="AA790" s="6"/>
    </row>
    <row r="791" spans="1:27" ht="28.95" customHeight="1" x14ac:dyDescent="0.3">
      <c r="A791" s="91"/>
      <c r="B791" s="91"/>
      <c r="C791" s="80"/>
      <c r="D791" s="91"/>
      <c r="E791" s="80"/>
      <c r="F791" s="6"/>
      <c r="G791" s="6"/>
      <c r="H791" s="25"/>
      <c r="I791" s="133"/>
      <c r="J791" s="6"/>
      <c r="K791" s="6"/>
      <c r="L791" s="6"/>
      <c r="M791" s="6"/>
      <c r="N791" s="84"/>
      <c r="O791" s="80" t="str">
        <f>IF(N791="","",VLOOKUP(N791,ROLES!B:C,2,FALSE))</f>
        <v/>
      </c>
      <c r="P791" s="6"/>
      <c r="Q791" s="6"/>
      <c r="R791" s="16">
        <f t="shared" si="26"/>
        <v>0</v>
      </c>
      <c r="S791" s="16"/>
      <c r="T791" s="80" t="str">
        <f>IF(S791="","",VLOOKUP(S791,VALORACION!F:G,2,FALSE))</f>
        <v/>
      </c>
      <c r="U791" s="11"/>
      <c r="V791" s="80" t="str">
        <f>IF(U791="","",VLOOKUP(U791,ROLES!G:H,2,FALSE))</f>
        <v/>
      </c>
      <c r="W791" s="6"/>
      <c r="X791" s="6"/>
      <c r="Y791" s="95" t="e">
        <f t="shared" si="25"/>
        <v>#VALUE!</v>
      </c>
      <c r="Z791" s="6"/>
      <c r="AA791" s="6"/>
    </row>
    <row r="792" spans="1:27" ht="28.95" customHeight="1" x14ac:dyDescent="0.3">
      <c r="A792" s="91"/>
      <c r="B792" s="91"/>
      <c r="C792" s="80"/>
      <c r="D792" s="91"/>
      <c r="E792" s="80"/>
      <c r="F792" s="6"/>
      <c r="G792" s="6"/>
      <c r="H792" s="25"/>
      <c r="I792" s="133"/>
      <c r="J792" s="6"/>
      <c r="K792" s="6"/>
      <c r="L792" s="6"/>
      <c r="M792" s="6"/>
      <c r="N792" s="84"/>
      <c r="O792" s="80" t="str">
        <f>IF(N792="","",VLOOKUP(N792,ROLES!B:C,2,FALSE))</f>
        <v/>
      </c>
      <c r="P792" s="6"/>
      <c r="Q792" s="6"/>
      <c r="R792" s="16">
        <f t="shared" si="26"/>
        <v>0</v>
      </c>
      <c r="S792" s="16"/>
      <c r="T792" s="80" t="str">
        <f>IF(S792="","",VLOOKUP(S792,VALORACION!F:G,2,FALSE))</f>
        <v/>
      </c>
      <c r="U792" s="11"/>
      <c r="V792" s="80" t="str">
        <f>IF(U792="","",VLOOKUP(U792,ROLES!G:H,2,FALSE))</f>
        <v/>
      </c>
      <c r="W792" s="6"/>
      <c r="X792" s="6"/>
      <c r="Y792" s="95" t="e">
        <f t="shared" si="25"/>
        <v>#VALUE!</v>
      </c>
      <c r="Z792" s="6"/>
      <c r="AA792" s="6"/>
    </row>
    <row r="793" spans="1:27" ht="28.95" customHeight="1" x14ac:dyDescent="0.3">
      <c r="A793" s="91"/>
      <c r="B793" s="91"/>
      <c r="C793" s="80"/>
      <c r="D793" s="91"/>
      <c r="E793" s="80"/>
      <c r="F793" s="6"/>
      <c r="G793" s="6"/>
      <c r="H793" s="25"/>
      <c r="I793" s="133"/>
      <c r="J793" s="6"/>
      <c r="K793" s="6"/>
      <c r="L793" s="6"/>
      <c r="M793" s="6"/>
      <c r="N793" s="84"/>
      <c r="O793" s="80" t="str">
        <f>IF(N793="","",VLOOKUP(N793,ROLES!B:C,2,FALSE))</f>
        <v/>
      </c>
      <c r="P793" s="6"/>
      <c r="Q793" s="6"/>
      <c r="R793" s="16">
        <f t="shared" si="26"/>
        <v>0</v>
      </c>
      <c r="S793" s="16"/>
      <c r="T793" s="80" t="str">
        <f>IF(S793="","",VLOOKUP(S793,VALORACION!F:G,2,FALSE))</f>
        <v/>
      </c>
      <c r="U793" s="11"/>
      <c r="V793" s="80" t="str">
        <f>IF(U793="","",VLOOKUP(U793,ROLES!G:H,2,FALSE))</f>
        <v/>
      </c>
      <c r="W793" s="6"/>
      <c r="X793" s="6"/>
      <c r="Y793" s="95" t="e">
        <f t="shared" si="25"/>
        <v>#VALUE!</v>
      </c>
      <c r="Z793" s="6"/>
      <c r="AA793" s="6"/>
    </row>
    <row r="794" spans="1:27" ht="28.95" customHeight="1" x14ac:dyDescent="0.3">
      <c r="A794" s="91"/>
      <c r="B794" s="91"/>
      <c r="C794" s="80"/>
      <c r="D794" s="91"/>
      <c r="E794" s="80"/>
      <c r="F794" s="6"/>
      <c r="G794" s="6"/>
      <c r="H794" s="25"/>
      <c r="I794" s="133"/>
      <c r="J794" s="6"/>
      <c r="K794" s="6"/>
      <c r="L794" s="6"/>
      <c r="M794" s="6"/>
      <c r="N794" s="84"/>
      <c r="O794" s="80" t="str">
        <f>IF(N794="","",VLOOKUP(N794,ROLES!B:C,2,FALSE))</f>
        <v/>
      </c>
      <c r="P794" s="6"/>
      <c r="Q794" s="6"/>
      <c r="R794" s="16">
        <f t="shared" si="26"/>
        <v>0</v>
      </c>
      <c r="S794" s="16"/>
      <c r="T794" s="80" t="str">
        <f>IF(S794="","",VLOOKUP(S794,VALORACION!F:G,2,FALSE))</f>
        <v/>
      </c>
      <c r="U794" s="11"/>
      <c r="V794" s="80" t="str">
        <f>IF(U794="","",VLOOKUP(U794,ROLES!G:H,2,FALSE))</f>
        <v/>
      </c>
      <c r="W794" s="6"/>
      <c r="X794" s="6"/>
      <c r="Y794" s="95" t="e">
        <f t="shared" si="25"/>
        <v>#VALUE!</v>
      </c>
      <c r="Z794" s="6"/>
      <c r="AA794" s="6"/>
    </row>
    <row r="795" spans="1:27" ht="28.95" customHeight="1" x14ac:dyDescent="0.3">
      <c r="A795" s="91"/>
      <c r="B795" s="91"/>
      <c r="C795" s="80"/>
      <c r="D795" s="91"/>
      <c r="E795" s="80"/>
      <c r="F795" s="6"/>
      <c r="G795" s="6"/>
      <c r="H795" s="25"/>
      <c r="I795" s="133"/>
      <c r="J795" s="6"/>
      <c r="K795" s="6"/>
      <c r="L795" s="6"/>
      <c r="M795" s="6"/>
      <c r="N795" s="84"/>
      <c r="O795" s="80" t="str">
        <f>IF(N795="","",VLOOKUP(N795,ROLES!B:C,2,FALSE))</f>
        <v/>
      </c>
      <c r="P795" s="6"/>
      <c r="Q795" s="6"/>
      <c r="R795" s="16">
        <f t="shared" si="26"/>
        <v>0</v>
      </c>
      <c r="S795" s="16"/>
      <c r="T795" s="80" t="str">
        <f>IF(S795="","",VLOOKUP(S795,VALORACION!F:G,2,FALSE))</f>
        <v/>
      </c>
      <c r="U795" s="11"/>
      <c r="V795" s="80" t="str">
        <f>IF(U795="","",VLOOKUP(U795,ROLES!G:H,2,FALSE))</f>
        <v/>
      </c>
      <c r="W795" s="6"/>
      <c r="X795" s="6"/>
      <c r="Y795" s="95" t="e">
        <f t="shared" si="25"/>
        <v>#VALUE!</v>
      </c>
      <c r="Z795" s="6"/>
      <c r="AA795" s="6"/>
    </row>
    <row r="796" spans="1:27" ht="28.95" customHeight="1" x14ac:dyDescent="0.3">
      <c r="A796" s="91"/>
      <c r="B796" s="91"/>
      <c r="C796" s="80"/>
      <c r="D796" s="91"/>
      <c r="E796" s="80"/>
      <c r="F796" s="6"/>
      <c r="G796" s="6"/>
      <c r="H796" s="25"/>
      <c r="I796" s="133"/>
      <c r="J796" s="6"/>
      <c r="K796" s="6"/>
      <c r="L796" s="6"/>
      <c r="M796" s="6"/>
      <c r="N796" s="84"/>
      <c r="O796" s="80" t="str">
        <f>IF(N796="","",VLOOKUP(N796,ROLES!B:C,2,FALSE))</f>
        <v/>
      </c>
      <c r="P796" s="6"/>
      <c r="Q796" s="6"/>
      <c r="R796" s="16">
        <f t="shared" si="26"/>
        <v>0</v>
      </c>
      <c r="S796" s="16"/>
      <c r="T796" s="80" t="str">
        <f>IF(S796="","",VLOOKUP(S796,VALORACION!F:G,2,FALSE))</f>
        <v/>
      </c>
      <c r="U796" s="11"/>
      <c r="V796" s="80" t="str">
        <f>IF(U796="","",VLOOKUP(U796,ROLES!G:H,2,FALSE))</f>
        <v/>
      </c>
      <c r="W796" s="6"/>
      <c r="X796" s="6"/>
      <c r="Y796" s="95" t="e">
        <f t="shared" si="25"/>
        <v>#VALUE!</v>
      </c>
      <c r="Z796" s="6"/>
      <c r="AA796" s="6"/>
    </row>
    <row r="797" spans="1:27" ht="28.95" customHeight="1" x14ac:dyDescent="0.3">
      <c r="A797" s="91"/>
      <c r="B797" s="91"/>
      <c r="C797" s="80"/>
      <c r="D797" s="91"/>
      <c r="E797" s="80"/>
      <c r="F797" s="6"/>
      <c r="G797" s="6"/>
      <c r="H797" s="25"/>
      <c r="I797" s="133"/>
      <c r="J797" s="6"/>
      <c r="K797" s="6"/>
      <c r="L797" s="6"/>
      <c r="M797" s="6"/>
      <c r="N797" s="84"/>
      <c r="O797" s="80" t="str">
        <f>IF(N797="","",VLOOKUP(N797,ROLES!B:C,2,FALSE))</f>
        <v/>
      </c>
      <c r="P797" s="6"/>
      <c r="Q797" s="6"/>
      <c r="R797" s="16">
        <f t="shared" si="26"/>
        <v>0</v>
      </c>
      <c r="S797" s="16"/>
      <c r="T797" s="80" t="str">
        <f>IF(S797="","",VLOOKUP(S797,VALORACION!F:G,2,FALSE))</f>
        <v/>
      </c>
      <c r="U797" s="11"/>
      <c r="V797" s="80" t="str">
        <f>IF(U797="","",VLOOKUP(U797,ROLES!G:H,2,FALSE))</f>
        <v/>
      </c>
      <c r="W797" s="6"/>
      <c r="X797" s="6"/>
      <c r="Y797" s="95" t="e">
        <f t="shared" si="25"/>
        <v>#VALUE!</v>
      </c>
      <c r="Z797" s="6"/>
      <c r="AA797" s="6"/>
    </row>
    <row r="798" spans="1:27" ht="28.95" customHeight="1" x14ac:dyDescent="0.3">
      <c r="A798" s="91"/>
      <c r="B798" s="91"/>
      <c r="C798" s="80"/>
      <c r="D798" s="91"/>
      <c r="E798" s="80"/>
      <c r="F798" s="6"/>
      <c r="G798" s="6"/>
      <c r="H798" s="25"/>
      <c r="I798" s="133"/>
      <c r="J798" s="6"/>
      <c r="K798" s="6"/>
      <c r="L798" s="6"/>
      <c r="M798" s="6"/>
      <c r="N798" s="84"/>
      <c r="O798" s="80" t="str">
        <f>IF(N798="","",VLOOKUP(N798,ROLES!B:C,2,FALSE))</f>
        <v/>
      </c>
      <c r="P798" s="6"/>
      <c r="Q798" s="6"/>
      <c r="R798" s="16">
        <f t="shared" si="26"/>
        <v>0</v>
      </c>
      <c r="S798" s="16"/>
      <c r="T798" s="80" t="str">
        <f>IF(S798="","",VLOOKUP(S798,VALORACION!F:G,2,FALSE))</f>
        <v/>
      </c>
      <c r="U798" s="11"/>
      <c r="V798" s="80" t="str">
        <f>IF(U798="","",VLOOKUP(U798,ROLES!G:H,2,FALSE))</f>
        <v/>
      </c>
      <c r="W798" s="6"/>
      <c r="X798" s="6"/>
      <c r="Y798" s="95" t="e">
        <f t="shared" si="25"/>
        <v>#VALUE!</v>
      </c>
      <c r="Z798" s="6"/>
      <c r="AA798" s="6"/>
    </row>
    <row r="799" spans="1:27" ht="28.95" customHeight="1" x14ac:dyDescent="0.3">
      <c r="A799" s="91"/>
      <c r="B799" s="91"/>
      <c r="C799" s="80"/>
      <c r="D799" s="91"/>
      <c r="E799" s="80"/>
      <c r="F799" s="6"/>
      <c r="G799" s="6"/>
      <c r="H799" s="25"/>
      <c r="I799" s="133"/>
      <c r="J799" s="6"/>
      <c r="K799" s="6"/>
      <c r="L799" s="6"/>
      <c r="M799" s="6"/>
      <c r="N799" s="84"/>
      <c r="O799" s="80" t="str">
        <f>IF(N799="","",VLOOKUP(N799,ROLES!B:C,2,FALSE))</f>
        <v/>
      </c>
      <c r="P799" s="6"/>
      <c r="Q799" s="6"/>
      <c r="R799" s="16">
        <f t="shared" si="26"/>
        <v>0</v>
      </c>
      <c r="S799" s="16"/>
      <c r="T799" s="80" t="str">
        <f>IF(S799="","",VLOOKUP(S799,VALORACION!F:G,2,FALSE))</f>
        <v/>
      </c>
      <c r="U799" s="11"/>
      <c r="V799" s="80" t="str">
        <f>IF(U799="","",VLOOKUP(U799,ROLES!G:H,2,FALSE))</f>
        <v/>
      </c>
      <c r="W799" s="6"/>
      <c r="X799" s="6"/>
      <c r="Y799" s="95" t="e">
        <f t="shared" si="25"/>
        <v>#VALUE!</v>
      </c>
      <c r="Z799" s="6"/>
      <c r="AA799" s="6"/>
    </row>
    <row r="800" spans="1:27" ht="28.95" customHeight="1" x14ac:dyDescent="0.3">
      <c r="A800" s="91"/>
      <c r="B800" s="91"/>
      <c r="C800" s="80"/>
      <c r="D800" s="91"/>
      <c r="E800" s="80"/>
      <c r="F800" s="6"/>
      <c r="G800" s="6"/>
      <c r="H800" s="25"/>
      <c r="I800" s="133"/>
      <c r="J800" s="6"/>
      <c r="K800" s="6"/>
      <c r="L800" s="6"/>
      <c r="M800" s="6"/>
      <c r="N800" s="84"/>
      <c r="O800" s="80" t="str">
        <f>IF(N800="","",VLOOKUP(N800,ROLES!B:C,2,FALSE))</f>
        <v/>
      </c>
      <c r="P800" s="6"/>
      <c r="Q800" s="6"/>
      <c r="R800" s="16">
        <f t="shared" si="26"/>
        <v>0</v>
      </c>
      <c r="S800" s="16"/>
      <c r="T800" s="80" t="str">
        <f>IF(S800="","",VLOOKUP(S800,VALORACION!F:G,2,FALSE))</f>
        <v/>
      </c>
      <c r="U800" s="11"/>
      <c r="V800" s="80" t="str">
        <f>IF(U800="","",VLOOKUP(U800,ROLES!G:H,2,FALSE))</f>
        <v/>
      </c>
      <c r="W800" s="6"/>
      <c r="X800" s="6"/>
      <c r="Y800" s="95" t="e">
        <f t="shared" si="25"/>
        <v>#VALUE!</v>
      </c>
      <c r="Z800" s="6"/>
      <c r="AA800" s="6"/>
    </row>
    <row r="801" spans="1:27" ht="28.95" customHeight="1" x14ac:dyDescent="0.3">
      <c r="A801" s="91"/>
      <c r="B801" s="91"/>
      <c r="C801" s="80"/>
      <c r="D801" s="91"/>
      <c r="E801" s="80"/>
      <c r="F801" s="6"/>
      <c r="G801" s="6"/>
      <c r="H801" s="25"/>
      <c r="I801" s="133"/>
      <c r="J801" s="6"/>
      <c r="K801" s="6"/>
      <c r="L801" s="6"/>
      <c r="M801" s="6"/>
      <c r="N801" s="84"/>
      <c r="O801" s="80" t="str">
        <f>IF(N801="","",VLOOKUP(N801,ROLES!B:C,2,FALSE))</f>
        <v/>
      </c>
      <c r="P801" s="6"/>
      <c r="Q801" s="6"/>
      <c r="R801" s="16">
        <f t="shared" si="26"/>
        <v>0</v>
      </c>
      <c r="S801" s="16"/>
      <c r="T801" s="80" t="str">
        <f>IF(S801="","",VLOOKUP(S801,VALORACION!F:G,2,FALSE))</f>
        <v/>
      </c>
      <c r="U801" s="11"/>
      <c r="V801" s="80" t="str">
        <f>IF(U801="","",VLOOKUP(U801,ROLES!G:H,2,FALSE))</f>
        <v/>
      </c>
      <c r="W801" s="6"/>
      <c r="X801" s="6"/>
      <c r="Y801" s="95" t="e">
        <f t="shared" si="25"/>
        <v>#VALUE!</v>
      </c>
      <c r="Z801" s="6"/>
      <c r="AA801" s="6"/>
    </row>
    <row r="802" spans="1:27" ht="28.95" customHeight="1" x14ac:dyDescent="0.3">
      <c r="A802" s="91"/>
      <c r="B802" s="91"/>
      <c r="C802" s="80"/>
      <c r="D802" s="91"/>
      <c r="E802" s="80"/>
      <c r="F802" s="6"/>
      <c r="G802" s="6"/>
      <c r="H802" s="25"/>
      <c r="I802" s="133"/>
      <c r="J802" s="6"/>
      <c r="K802" s="6"/>
      <c r="L802" s="6"/>
      <c r="M802" s="6"/>
      <c r="N802" s="84"/>
      <c r="O802" s="80" t="str">
        <f>IF(N802="","",VLOOKUP(N802,ROLES!B:C,2,FALSE))</f>
        <v/>
      </c>
      <c r="P802" s="6"/>
      <c r="Q802" s="6"/>
      <c r="R802" s="16">
        <f t="shared" si="26"/>
        <v>0</v>
      </c>
      <c r="S802" s="16"/>
      <c r="T802" s="80" t="str">
        <f>IF(S802="","",VLOOKUP(S802,VALORACION!F:G,2,FALSE))</f>
        <v/>
      </c>
      <c r="U802" s="11"/>
      <c r="V802" s="80" t="str">
        <f>IF(U802="","",VLOOKUP(U802,ROLES!G:H,2,FALSE))</f>
        <v/>
      </c>
      <c r="W802" s="6"/>
      <c r="X802" s="6"/>
      <c r="Y802" s="95" t="e">
        <f t="shared" si="25"/>
        <v>#VALUE!</v>
      </c>
      <c r="Z802" s="6"/>
      <c r="AA802" s="6"/>
    </row>
    <row r="803" spans="1:27" ht="28.95" customHeight="1" x14ac:dyDescent="0.3">
      <c r="A803" s="91"/>
      <c r="B803" s="91"/>
      <c r="C803" s="80"/>
      <c r="D803" s="91"/>
      <c r="E803" s="80"/>
      <c r="F803" s="6"/>
      <c r="G803" s="6"/>
      <c r="H803" s="25"/>
      <c r="I803" s="133"/>
      <c r="J803" s="6"/>
      <c r="K803" s="6"/>
      <c r="L803" s="6"/>
      <c r="M803" s="6"/>
      <c r="N803" s="84"/>
      <c r="O803" s="80" t="str">
        <f>IF(N803="","",VLOOKUP(N803,ROLES!B:C,2,FALSE))</f>
        <v/>
      </c>
      <c r="P803" s="6"/>
      <c r="Q803" s="6"/>
      <c r="R803" s="16">
        <f t="shared" si="26"/>
        <v>0</v>
      </c>
      <c r="S803" s="16"/>
      <c r="T803" s="80" t="str">
        <f>IF(S803="","",VLOOKUP(S803,VALORACION!F:G,2,FALSE))</f>
        <v/>
      </c>
      <c r="U803" s="11"/>
      <c r="V803" s="80" t="str">
        <f>IF(U803="","",VLOOKUP(U803,ROLES!G:H,2,FALSE))</f>
        <v/>
      </c>
      <c r="W803" s="6"/>
      <c r="X803" s="6"/>
      <c r="Y803" s="95" t="e">
        <f t="shared" si="25"/>
        <v>#VALUE!</v>
      </c>
      <c r="Z803" s="6"/>
      <c r="AA803" s="6"/>
    </row>
    <row r="804" spans="1:27" ht="28.95" customHeight="1" x14ac:dyDescent="0.3">
      <c r="A804" s="91"/>
      <c r="B804" s="91"/>
      <c r="C804" s="80"/>
      <c r="D804" s="91"/>
      <c r="E804" s="80"/>
      <c r="F804" s="6"/>
      <c r="G804" s="6"/>
      <c r="H804" s="25"/>
      <c r="I804" s="133"/>
      <c r="J804" s="6"/>
      <c r="K804" s="6"/>
      <c r="L804" s="6"/>
      <c r="M804" s="6"/>
      <c r="N804" s="84"/>
      <c r="O804" s="80" t="str">
        <f>IF(N804="","",VLOOKUP(N804,ROLES!B:C,2,FALSE))</f>
        <v/>
      </c>
      <c r="P804" s="6"/>
      <c r="Q804" s="6"/>
      <c r="R804" s="16">
        <f t="shared" si="26"/>
        <v>0</v>
      </c>
      <c r="S804" s="16"/>
      <c r="T804" s="80" t="str">
        <f>IF(S804="","",VLOOKUP(S804,VALORACION!F:G,2,FALSE))</f>
        <v/>
      </c>
      <c r="U804" s="11"/>
      <c r="V804" s="80" t="str">
        <f>IF(U804="","",VLOOKUP(U804,ROLES!G:H,2,FALSE))</f>
        <v/>
      </c>
      <c r="W804" s="6"/>
      <c r="X804" s="6"/>
      <c r="Y804" s="95" t="e">
        <f t="shared" si="25"/>
        <v>#VALUE!</v>
      </c>
      <c r="Z804" s="6"/>
      <c r="AA804" s="6"/>
    </row>
    <row r="805" spans="1:27" ht="28.95" customHeight="1" x14ac:dyDescent="0.3">
      <c r="A805" s="91"/>
      <c r="B805" s="91"/>
      <c r="C805" s="80"/>
      <c r="D805" s="91"/>
      <c r="E805" s="80"/>
      <c r="F805" s="6"/>
      <c r="G805" s="6"/>
      <c r="H805" s="25"/>
      <c r="I805" s="133"/>
      <c r="J805" s="6"/>
      <c r="K805" s="6"/>
      <c r="L805" s="6"/>
      <c r="M805" s="6"/>
      <c r="N805" s="84"/>
      <c r="O805" s="80" t="str">
        <f>IF(N805="","",VLOOKUP(N805,ROLES!B:C,2,FALSE))</f>
        <v/>
      </c>
      <c r="P805" s="6"/>
      <c r="Q805" s="6"/>
      <c r="R805" s="16">
        <f t="shared" si="26"/>
        <v>0</v>
      </c>
      <c r="S805" s="16"/>
      <c r="T805" s="80" t="str">
        <f>IF(S805="","",VLOOKUP(S805,VALORACION!F:G,2,FALSE))</f>
        <v/>
      </c>
      <c r="U805" s="11"/>
      <c r="V805" s="80" t="str">
        <f>IF(U805="","",VLOOKUP(U805,ROLES!G:H,2,FALSE))</f>
        <v/>
      </c>
      <c r="W805" s="6"/>
      <c r="X805" s="6"/>
      <c r="Y805" s="95" t="e">
        <f t="shared" si="25"/>
        <v>#VALUE!</v>
      </c>
      <c r="Z805" s="6"/>
      <c r="AA805" s="6"/>
    </row>
    <row r="806" spans="1:27" ht="28.95" customHeight="1" x14ac:dyDescent="0.3">
      <c r="A806" s="91"/>
      <c r="B806" s="91"/>
      <c r="C806" s="80"/>
      <c r="D806" s="91"/>
      <c r="E806" s="80"/>
      <c r="F806" s="6"/>
      <c r="G806" s="6"/>
      <c r="H806" s="25"/>
      <c r="I806" s="133"/>
      <c r="J806" s="6"/>
      <c r="K806" s="6"/>
      <c r="L806" s="6"/>
      <c r="M806" s="6"/>
      <c r="N806" s="84"/>
      <c r="O806" s="80" t="str">
        <f>IF(N806="","",VLOOKUP(N806,ROLES!B:C,2,FALSE))</f>
        <v/>
      </c>
      <c r="P806" s="6"/>
      <c r="Q806" s="6"/>
      <c r="R806" s="16">
        <f t="shared" si="26"/>
        <v>0</v>
      </c>
      <c r="S806" s="16"/>
      <c r="T806" s="80" t="str">
        <f>IF(S806="","",VLOOKUP(S806,VALORACION!F:G,2,FALSE))</f>
        <v/>
      </c>
      <c r="U806" s="11"/>
      <c r="V806" s="80" t="str">
        <f>IF(U806="","",VLOOKUP(U806,ROLES!G:H,2,FALSE))</f>
        <v/>
      </c>
      <c r="W806" s="6"/>
      <c r="X806" s="6"/>
      <c r="Y806" s="95" t="e">
        <f t="shared" si="25"/>
        <v>#VALUE!</v>
      </c>
      <c r="Z806" s="6"/>
      <c r="AA806" s="6"/>
    </row>
    <row r="807" spans="1:27" ht="28.95" customHeight="1" x14ac:dyDescent="0.3">
      <c r="A807" s="91"/>
      <c r="B807" s="91"/>
      <c r="C807" s="80"/>
      <c r="D807" s="91"/>
      <c r="E807" s="80"/>
      <c r="F807" s="6"/>
      <c r="G807" s="6"/>
      <c r="H807" s="25"/>
      <c r="I807" s="133"/>
      <c r="J807" s="6"/>
      <c r="K807" s="6"/>
      <c r="L807" s="6"/>
      <c r="M807" s="6"/>
      <c r="N807" s="84"/>
      <c r="O807" s="80" t="str">
        <f>IF(N807="","",VLOOKUP(N807,ROLES!B:C,2,FALSE))</f>
        <v/>
      </c>
      <c r="P807" s="6"/>
      <c r="Q807" s="6"/>
      <c r="R807" s="16">
        <f t="shared" si="26"/>
        <v>0</v>
      </c>
      <c r="S807" s="16"/>
      <c r="T807" s="80" t="str">
        <f>IF(S807="","",VLOOKUP(S807,VALORACION!F:G,2,FALSE))</f>
        <v/>
      </c>
      <c r="U807" s="11"/>
      <c r="V807" s="80" t="str">
        <f>IF(U807="","",VLOOKUP(U807,ROLES!G:H,2,FALSE))</f>
        <v/>
      </c>
      <c r="W807" s="6"/>
      <c r="X807" s="6"/>
      <c r="Y807" s="95" t="e">
        <f t="shared" si="25"/>
        <v>#VALUE!</v>
      </c>
      <c r="Z807" s="6"/>
      <c r="AA807" s="6"/>
    </row>
    <row r="808" spans="1:27" ht="28.95" customHeight="1" x14ac:dyDescent="0.3">
      <c r="A808" s="91"/>
      <c r="B808" s="91"/>
      <c r="C808" s="80"/>
      <c r="D808" s="91"/>
      <c r="E808" s="80"/>
      <c r="F808" s="6"/>
      <c r="G808" s="6"/>
      <c r="H808" s="25"/>
      <c r="I808" s="133"/>
      <c r="J808" s="6"/>
      <c r="K808" s="6"/>
      <c r="L808" s="6"/>
      <c r="M808" s="6"/>
      <c r="N808" s="84"/>
      <c r="O808" s="80" t="str">
        <f>IF(N808="","",VLOOKUP(N808,ROLES!B:C,2,FALSE))</f>
        <v/>
      </c>
      <c r="P808" s="6"/>
      <c r="Q808" s="6"/>
      <c r="R808" s="16">
        <f t="shared" si="26"/>
        <v>0</v>
      </c>
      <c r="S808" s="16"/>
      <c r="T808" s="80" t="str">
        <f>IF(S808="","",VLOOKUP(S808,VALORACION!F:G,2,FALSE))</f>
        <v/>
      </c>
      <c r="U808" s="11"/>
      <c r="V808" s="80" t="str">
        <f>IF(U808="","",VLOOKUP(U808,ROLES!G:H,2,FALSE))</f>
        <v/>
      </c>
      <c r="W808" s="6"/>
      <c r="X808" s="6"/>
      <c r="Y808" s="95" t="e">
        <f t="shared" si="25"/>
        <v>#VALUE!</v>
      </c>
      <c r="Z808" s="6"/>
      <c r="AA808" s="6"/>
    </row>
    <row r="809" spans="1:27" ht="28.95" customHeight="1" x14ac:dyDescent="0.3">
      <c r="A809" s="91"/>
      <c r="B809" s="91"/>
      <c r="C809" s="80"/>
      <c r="D809" s="91"/>
      <c r="E809" s="80"/>
      <c r="F809" s="6"/>
      <c r="G809" s="6"/>
      <c r="H809" s="25"/>
      <c r="I809" s="133"/>
      <c r="J809" s="6"/>
      <c r="K809" s="6"/>
      <c r="L809" s="6"/>
      <c r="M809" s="6"/>
      <c r="N809" s="84"/>
      <c r="O809" s="80" t="str">
        <f>IF(N809="","",VLOOKUP(N809,ROLES!B:C,2,FALSE))</f>
        <v/>
      </c>
      <c r="P809" s="6"/>
      <c r="Q809" s="6"/>
      <c r="R809" s="16">
        <f t="shared" si="26"/>
        <v>0</v>
      </c>
      <c r="S809" s="16"/>
      <c r="T809" s="80" t="str">
        <f>IF(S809="","",VLOOKUP(S809,VALORACION!F:G,2,FALSE))</f>
        <v/>
      </c>
      <c r="U809" s="11"/>
      <c r="V809" s="80" t="str">
        <f>IF(U809="","",VLOOKUP(U809,ROLES!G:H,2,FALSE))</f>
        <v/>
      </c>
      <c r="W809" s="6"/>
      <c r="X809" s="6"/>
      <c r="Y809" s="95" t="e">
        <f t="shared" si="25"/>
        <v>#VALUE!</v>
      </c>
      <c r="Z809" s="6"/>
      <c r="AA809" s="6"/>
    </row>
    <row r="810" spans="1:27" ht="28.95" customHeight="1" x14ac:dyDescent="0.3">
      <c r="A810" s="91"/>
      <c r="B810" s="91"/>
      <c r="C810" s="80"/>
      <c r="D810" s="91"/>
      <c r="E810" s="80"/>
      <c r="F810" s="6"/>
      <c r="G810" s="6"/>
      <c r="H810" s="25"/>
      <c r="I810" s="133"/>
      <c r="J810" s="6"/>
      <c r="K810" s="6"/>
      <c r="L810" s="6"/>
      <c r="M810" s="6"/>
      <c r="N810" s="84"/>
      <c r="O810" s="80" t="str">
        <f>IF(N810="","",VLOOKUP(N810,ROLES!B:C,2,FALSE))</f>
        <v/>
      </c>
      <c r="P810" s="6"/>
      <c r="Q810" s="6"/>
      <c r="R810" s="16">
        <f t="shared" si="26"/>
        <v>0</v>
      </c>
      <c r="S810" s="16"/>
      <c r="T810" s="80" t="str">
        <f>IF(S810="","",VLOOKUP(S810,VALORACION!F:G,2,FALSE))</f>
        <v/>
      </c>
      <c r="U810" s="11"/>
      <c r="V810" s="80" t="str">
        <f>IF(U810="","",VLOOKUP(U810,ROLES!G:H,2,FALSE))</f>
        <v/>
      </c>
      <c r="W810" s="6"/>
      <c r="X810" s="6"/>
      <c r="Y810" s="95" t="e">
        <f t="shared" si="25"/>
        <v>#VALUE!</v>
      </c>
      <c r="Z810" s="6"/>
      <c r="AA810" s="6"/>
    </row>
    <row r="811" spans="1:27" ht="28.95" customHeight="1" x14ac:dyDescent="0.3">
      <c r="A811" s="91"/>
      <c r="B811" s="91"/>
      <c r="C811" s="80"/>
      <c r="D811" s="91"/>
      <c r="E811" s="80"/>
      <c r="F811" s="6"/>
      <c r="G811" s="6"/>
      <c r="H811" s="25"/>
      <c r="I811" s="133"/>
      <c r="J811" s="6"/>
      <c r="K811" s="6"/>
      <c r="L811" s="6"/>
      <c r="M811" s="6"/>
      <c r="N811" s="84"/>
      <c r="O811" s="80" t="str">
        <f>IF(N811="","",VLOOKUP(N811,ROLES!B:C,2,FALSE))</f>
        <v/>
      </c>
      <c r="P811" s="6"/>
      <c r="Q811" s="6"/>
      <c r="R811" s="16">
        <f t="shared" si="26"/>
        <v>0</v>
      </c>
      <c r="S811" s="16"/>
      <c r="T811" s="80" t="str">
        <f>IF(S811="","",VLOOKUP(S811,VALORACION!F:G,2,FALSE))</f>
        <v/>
      </c>
      <c r="U811" s="11"/>
      <c r="V811" s="80" t="str">
        <f>IF(U811="","",VLOOKUP(U811,ROLES!G:H,2,FALSE))</f>
        <v/>
      </c>
      <c r="W811" s="6"/>
      <c r="X811" s="6"/>
      <c r="Y811" s="95" t="e">
        <f t="shared" si="25"/>
        <v>#VALUE!</v>
      </c>
      <c r="Z811" s="6"/>
      <c r="AA811" s="6"/>
    </row>
    <row r="812" spans="1:27" ht="28.95" customHeight="1" x14ac:dyDescent="0.3">
      <c r="A812" s="91"/>
      <c r="B812" s="91"/>
      <c r="C812" s="80"/>
      <c r="D812" s="91"/>
      <c r="E812" s="80"/>
      <c r="F812" s="6"/>
      <c r="G812" s="6"/>
      <c r="H812" s="25"/>
      <c r="I812" s="133"/>
      <c r="J812" s="6"/>
      <c r="K812" s="6"/>
      <c r="L812" s="6"/>
      <c r="M812" s="6"/>
      <c r="N812" s="84"/>
      <c r="O812" s="80" t="str">
        <f>IF(N812="","",VLOOKUP(N812,ROLES!B:C,2,FALSE))</f>
        <v/>
      </c>
      <c r="P812" s="6"/>
      <c r="Q812" s="6"/>
      <c r="R812" s="16">
        <f t="shared" si="26"/>
        <v>0</v>
      </c>
      <c r="S812" s="16"/>
      <c r="T812" s="80" t="str">
        <f>IF(S812="","",VLOOKUP(S812,VALORACION!F:G,2,FALSE))</f>
        <v/>
      </c>
      <c r="U812" s="11"/>
      <c r="V812" s="80" t="str">
        <f>IF(U812="","",VLOOKUP(U812,ROLES!G:H,2,FALSE))</f>
        <v/>
      </c>
      <c r="W812" s="6"/>
      <c r="X812" s="6"/>
      <c r="Y812" s="95" t="e">
        <f t="shared" si="25"/>
        <v>#VALUE!</v>
      </c>
      <c r="Z812" s="6"/>
      <c r="AA812" s="6"/>
    </row>
    <row r="813" spans="1:27" ht="28.95" customHeight="1" x14ac:dyDescent="0.3">
      <c r="A813" s="91"/>
      <c r="B813" s="91"/>
      <c r="C813" s="80"/>
      <c r="D813" s="91"/>
      <c r="E813" s="80"/>
      <c r="F813" s="6"/>
      <c r="G813" s="6"/>
      <c r="H813" s="25"/>
      <c r="I813" s="133"/>
      <c r="J813" s="6"/>
      <c r="K813" s="6"/>
      <c r="L813" s="6"/>
      <c r="M813" s="6"/>
      <c r="N813" s="84"/>
      <c r="O813" s="80" t="str">
        <f>IF(N813="","",VLOOKUP(N813,ROLES!B:C,2,FALSE))</f>
        <v/>
      </c>
      <c r="P813" s="6"/>
      <c r="Q813" s="6"/>
      <c r="R813" s="16">
        <f t="shared" si="26"/>
        <v>0</v>
      </c>
      <c r="S813" s="16"/>
      <c r="T813" s="80" t="str">
        <f>IF(S813="","",VLOOKUP(S813,VALORACION!F:G,2,FALSE))</f>
        <v/>
      </c>
      <c r="U813" s="11"/>
      <c r="V813" s="80" t="str">
        <f>IF(U813="","",VLOOKUP(U813,ROLES!G:H,2,FALSE))</f>
        <v/>
      </c>
      <c r="W813" s="6"/>
      <c r="X813" s="6"/>
      <c r="Y813" s="95" t="e">
        <f t="shared" si="25"/>
        <v>#VALUE!</v>
      </c>
      <c r="Z813" s="6"/>
      <c r="AA813" s="6"/>
    </row>
    <row r="814" spans="1:27" ht="28.95" customHeight="1" x14ac:dyDescent="0.3">
      <c r="A814" s="91"/>
      <c r="B814" s="91"/>
      <c r="C814" s="80"/>
      <c r="D814" s="91"/>
      <c r="E814" s="80"/>
      <c r="F814" s="6"/>
      <c r="G814" s="6"/>
      <c r="H814" s="25"/>
      <c r="I814" s="133"/>
      <c r="J814" s="6"/>
      <c r="K814" s="6"/>
      <c r="L814" s="6"/>
      <c r="M814" s="6"/>
      <c r="N814" s="84"/>
      <c r="O814" s="80" t="str">
        <f>IF(N814="","",VLOOKUP(N814,ROLES!B:C,2,FALSE))</f>
        <v/>
      </c>
      <c r="P814" s="6"/>
      <c r="Q814" s="6"/>
      <c r="R814" s="16">
        <f t="shared" si="26"/>
        <v>0</v>
      </c>
      <c r="S814" s="16"/>
      <c r="T814" s="80" t="str">
        <f>IF(S814="","",VLOOKUP(S814,VALORACION!F:G,2,FALSE))</f>
        <v/>
      </c>
      <c r="U814" s="11"/>
      <c r="V814" s="80" t="str">
        <f>IF(U814="","",VLOOKUP(U814,ROLES!G:H,2,FALSE))</f>
        <v/>
      </c>
      <c r="W814" s="6"/>
      <c r="X814" s="6"/>
      <c r="Y814" s="95" t="e">
        <f t="shared" si="25"/>
        <v>#VALUE!</v>
      </c>
      <c r="Z814" s="6"/>
      <c r="AA814" s="6"/>
    </row>
    <row r="815" spans="1:27" ht="28.95" customHeight="1" x14ac:dyDescent="0.3">
      <c r="A815" s="91"/>
      <c r="B815" s="91"/>
      <c r="C815" s="80"/>
      <c r="D815" s="91"/>
      <c r="E815" s="80"/>
      <c r="F815" s="6"/>
      <c r="G815" s="6"/>
      <c r="H815" s="25"/>
      <c r="I815" s="133"/>
      <c r="J815" s="6"/>
      <c r="K815" s="6"/>
      <c r="L815" s="6"/>
      <c r="M815" s="6"/>
      <c r="N815" s="84"/>
      <c r="O815" s="80" t="str">
        <f>IF(N815="","",VLOOKUP(N815,ROLES!B:C,2,FALSE))</f>
        <v/>
      </c>
      <c r="P815" s="6"/>
      <c r="Q815" s="6"/>
      <c r="R815" s="16">
        <f t="shared" si="26"/>
        <v>0</v>
      </c>
      <c r="S815" s="16"/>
      <c r="T815" s="80" t="str">
        <f>IF(S815="","",VLOOKUP(S815,VALORACION!F:G,2,FALSE))</f>
        <v/>
      </c>
      <c r="U815" s="11"/>
      <c r="V815" s="80" t="str">
        <f>IF(U815="","",VLOOKUP(U815,ROLES!G:H,2,FALSE))</f>
        <v/>
      </c>
      <c r="W815" s="6"/>
      <c r="X815" s="6"/>
      <c r="Y815" s="95" t="e">
        <f t="shared" si="25"/>
        <v>#VALUE!</v>
      </c>
      <c r="Z815" s="6"/>
      <c r="AA815" s="6"/>
    </row>
    <row r="816" spans="1:27" ht="28.95" customHeight="1" x14ac:dyDescent="0.3">
      <c r="A816" s="91"/>
      <c r="B816" s="91"/>
      <c r="C816" s="80"/>
      <c r="D816" s="91"/>
      <c r="E816" s="80"/>
      <c r="F816" s="6"/>
      <c r="G816" s="6"/>
      <c r="H816" s="25"/>
      <c r="I816" s="133"/>
      <c r="J816" s="6"/>
      <c r="K816" s="6"/>
      <c r="L816" s="6"/>
      <c r="M816" s="6"/>
      <c r="N816" s="84"/>
      <c r="O816" s="80" t="str">
        <f>IF(N816="","",VLOOKUP(N816,ROLES!B:C,2,FALSE))</f>
        <v/>
      </c>
      <c r="P816" s="6"/>
      <c r="Q816" s="6"/>
      <c r="R816" s="16">
        <f t="shared" si="26"/>
        <v>0</v>
      </c>
      <c r="S816" s="16"/>
      <c r="T816" s="80" t="str">
        <f>IF(S816="","",VLOOKUP(S816,VALORACION!F:G,2,FALSE))</f>
        <v/>
      </c>
      <c r="U816" s="11"/>
      <c r="V816" s="80" t="str">
        <f>IF(U816="","",VLOOKUP(U816,ROLES!G:H,2,FALSE))</f>
        <v/>
      </c>
      <c r="W816" s="6"/>
      <c r="X816" s="6"/>
      <c r="Y816" s="95" t="e">
        <f t="shared" si="25"/>
        <v>#VALUE!</v>
      </c>
      <c r="Z816" s="6"/>
      <c r="AA816" s="6"/>
    </row>
    <row r="817" spans="1:27" ht="28.95" customHeight="1" x14ac:dyDescent="0.3">
      <c r="A817" s="91"/>
      <c r="B817" s="91"/>
      <c r="C817" s="80"/>
      <c r="D817" s="91"/>
      <c r="E817" s="80"/>
      <c r="F817" s="6"/>
      <c r="G817" s="6"/>
      <c r="H817" s="25"/>
      <c r="I817" s="133"/>
      <c r="J817" s="6"/>
      <c r="K817" s="6"/>
      <c r="L817" s="6"/>
      <c r="M817" s="6"/>
      <c r="N817" s="84"/>
      <c r="O817" s="80" t="str">
        <f>IF(N817="","",VLOOKUP(N817,ROLES!B:C,2,FALSE))</f>
        <v/>
      </c>
      <c r="P817" s="6"/>
      <c r="Q817" s="6"/>
      <c r="R817" s="16">
        <f t="shared" si="26"/>
        <v>0</v>
      </c>
      <c r="S817" s="16"/>
      <c r="T817" s="80" t="str">
        <f>IF(S817="","",VLOOKUP(S817,VALORACION!F:G,2,FALSE))</f>
        <v/>
      </c>
      <c r="U817" s="11"/>
      <c r="V817" s="80" t="str">
        <f>IF(U817="","",VLOOKUP(U817,ROLES!G:H,2,FALSE))</f>
        <v/>
      </c>
      <c r="W817" s="6"/>
      <c r="X817" s="6"/>
      <c r="Y817" s="95" t="e">
        <f t="shared" si="25"/>
        <v>#VALUE!</v>
      </c>
      <c r="Z817" s="6"/>
      <c r="AA817" s="6"/>
    </row>
    <row r="818" spans="1:27" ht="28.95" customHeight="1" x14ac:dyDescent="0.3">
      <c r="A818" s="91"/>
      <c r="B818" s="91"/>
      <c r="C818" s="80"/>
      <c r="D818" s="91"/>
      <c r="E818" s="80"/>
      <c r="F818" s="6"/>
      <c r="G818" s="6"/>
      <c r="H818" s="25"/>
      <c r="I818" s="133"/>
      <c r="J818" s="6"/>
      <c r="K818" s="6"/>
      <c r="L818" s="6"/>
      <c r="M818" s="6"/>
      <c r="N818" s="84"/>
      <c r="O818" s="80" t="str">
        <f>IF(N818="","",VLOOKUP(N818,ROLES!B:C,2,FALSE))</f>
        <v/>
      </c>
      <c r="P818" s="6"/>
      <c r="Q818" s="6"/>
      <c r="R818" s="16">
        <f t="shared" si="26"/>
        <v>0</v>
      </c>
      <c r="S818" s="16"/>
      <c r="T818" s="80" t="str">
        <f>IF(S818="","",VLOOKUP(S818,VALORACION!F:G,2,FALSE))</f>
        <v/>
      </c>
      <c r="U818" s="11"/>
      <c r="V818" s="80" t="str">
        <f>IF(U818="","",VLOOKUP(U818,ROLES!G:H,2,FALSE))</f>
        <v/>
      </c>
      <c r="W818" s="6"/>
      <c r="X818" s="6"/>
      <c r="Y818" s="95" t="e">
        <f t="shared" si="25"/>
        <v>#VALUE!</v>
      </c>
      <c r="Z818" s="6"/>
      <c r="AA818" s="6"/>
    </row>
    <row r="819" spans="1:27" ht="28.95" customHeight="1" x14ac:dyDescent="0.3">
      <c r="A819" s="91"/>
      <c r="B819" s="91"/>
      <c r="C819" s="80"/>
      <c r="D819" s="91"/>
      <c r="E819" s="80"/>
      <c r="F819" s="6"/>
      <c r="G819" s="6"/>
      <c r="H819" s="25"/>
      <c r="I819" s="133"/>
      <c r="J819" s="6"/>
      <c r="K819" s="6"/>
      <c r="L819" s="6"/>
      <c r="M819" s="6"/>
      <c r="N819" s="84"/>
      <c r="O819" s="80" t="str">
        <f>IF(N819="","",VLOOKUP(N819,ROLES!B:C,2,FALSE))</f>
        <v/>
      </c>
      <c r="P819" s="6"/>
      <c r="Q819" s="6"/>
      <c r="R819" s="16">
        <f t="shared" si="26"/>
        <v>0</v>
      </c>
      <c r="S819" s="16"/>
      <c r="T819" s="80" t="str">
        <f>IF(S819="","",VLOOKUP(S819,VALORACION!F:G,2,FALSE))</f>
        <v/>
      </c>
      <c r="U819" s="11"/>
      <c r="V819" s="80" t="str">
        <f>IF(U819="","",VLOOKUP(U819,ROLES!G:H,2,FALSE))</f>
        <v/>
      </c>
      <c r="W819" s="6"/>
      <c r="X819" s="6"/>
      <c r="Y819" s="95" t="e">
        <f t="shared" si="25"/>
        <v>#VALUE!</v>
      </c>
      <c r="Z819" s="6"/>
      <c r="AA819" s="6"/>
    </row>
    <row r="820" spans="1:27" ht="28.95" customHeight="1" x14ac:dyDescent="0.3">
      <c r="A820" s="91"/>
      <c r="B820" s="91"/>
      <c r="C820" s="80"/>
      <c r="D820" s="91"/>
      <c r="E820" s="80"/>
      <c r="F820" s="6"/>
      <c r="G820" s="6"/>
      <c r="H820" s="25"/>
      <c r="I820" s="133"/>
      <c r="J820" s="6"/>
      <c r="K820" s="6"/>
      <c r="L820" s="6"/>
      <c r="M820" s="6"/>
      <c r="N820" s="84"/>
      <c r="O820" s="80" t="str">
        <f>IF(N820="","",VLOOKUP(N820,ROLES!B:C,2,FALSE))</f>
        <v/>
      </c>
      <c r="P820" s="6"/>
      <c r="Q820" s="6"/>
      <c r="R820" s="16">
        <f t="shared" si="26"/>
        <v>0</v>
      </c>
      <c r="S820" s="16"/>
      <c r="T820" s="80" t="str">
        <f>IF(S820="","",VLOOKUP(S820,VALORACION!F:G,2,FALSE))</f>
        <v/>
      </c>
      <c r="U820" s="11"/>
      <c r="V820" s="80" t="str">
        <f>IF(U820="","",VLOOKUP(U820,ROLES!G:H,2,FALSE))</f>
        <v/>
      </c>
      <c r="W820" s="6"/>
      <c r="X820" s="6"/>
      <c r="Y820" s="95" t="e">
        <f t="shared" si="25"/>
        <v>#VALUE!</v>
      </c>
      <c r="Z820" s="6"/>
      <c r="AA820" s="6"/>
    </row>
    <row r="821" spans="1:27" ht="28.95" customHeight="1" x14ac:dyDescent="0.3">
      <c r="A821" s="91"/>
      <c r="B821" s="91"/>
      <c r="C821" s="80"/>
      <c r="D821" s="91"/>
      <c r="E821" s="80"/>
      <c r="F821" s="6"/>
      <c r="G821" s="6"/>
      <c r="H821" s="25"/>
      <c r="I821" s="133"/>
      <c r="J821" s="6"/>
      <c r="K821" s="6"/>
      <c r="L821" s="6"/>
      <c r="M821" s="6"/>
      <c r="N821" s="84"/>
      <c r="O821" s="80" t="str">
        <f>IF(N821="","",VLOOKUP(N821,ROLES!B:C,2,FALSE))</f>
        <v/>
      </c>
      <c r="P821" s="6"/>
      <c r="Q821" s="6"/>
      <c r="R821" s="16">
        <f t="shared" si="26"/>
        <v>0</v>
      </c>
      <c r="S821" s="16"/>
      <c r="T821" s="80" t="str">
        <f>IF(S821="","",VLOOKUP(S821,VALORACION!F:G,2,FALSE))</f>
        <v/>
      </c>
      <c r="U821" s="11"/>
      <c r="V821" s="80" t="str">
        <f>IF(U821="","",VLOOKUP(U821,ROLES!G:H,2,FALSE))</f>
        <v/>
      </c>
      <c r="W821" s="6"/>
      <c r="X821" s="6"/>
      <c r="Y821" s="95" t="e">
        <f t="shared" si="25"/>
        <v>#VALUE!</v>
      </c>
      <c r="Z821" s="6"/>
      <c r="AA821" s="6"/>
    </row>
    <row r="822" spans="1:27" ht="28.95" customHeight="1" x14ac:dyDescent="0.3">
      <c r="A822" s="91"/>
      <c r="B822" s="91"/>
      <c r="C822" s="80"/>
      <c r="D822" s="91"/>
      <c r="E822" s="80"/>
      <c r="F822" s="6"/>
      <c r="G822" s="6"/>
      <c r="H822" s="25"/>
      <c r="I822" s="133"/>
      <c r="J822" s="6"/>
      <c r="K822" s="6"/>
      <c r="L822" s="6"/>
      <c r="M822" s="6"/>
      <c r="N822" s="84"/>
      <c r="O822" s="80" t="str">
        <f>IF(N822="","",VLOOKUP(N822,ROLES!B:C,2,FALSE))</f>
        <v/>
      </c>
      <c r="P822" s="6"/>
      <c r="Q822" s="6"/>
      <c r="R822" s="16">
        <f t="shared" si="26"/>
        <v>0</v>
      </c>
      <c r="S822" s="16"/>
      <c r="T822" s="80" t="str">
        <f>IF(S822="","",VLOOKUP(S822,VALORACION!F:G,2,FALSE))</f>
        <v/>
      </c>
      <c r="U822" s="11"/>
      <c r="V822" s="80" t="str">
        <f>IF(U822="","",VLOOKUP(U822,ROLES!G:H,2,FALSE))</f>
        <v/>
      </c>
      <c r="W822" s="6"/>
      <c r="X822" s="6"/>
      <c r="Y822" s="95" t="e">
        <f t="shared" si="25"/>
        <v>#VALUE!</v>
      </c>
      <c r="Z822" s="6"/>
      <c r="AA822" s="6"/>
    </row>
    <row r="823" spans="1:27" ht="28.95" customHeight="1" x14ac:dyDescent="0.3">
      <c r="A823" s="91"/>
      <c r="B823" s="91"/>
      <c r="C823" s="80"/>
      <c r="D823" s="91"/>
      <c r="E823" s="80"/>
      <c r="F823" s="6"/>
      <c r="G823" s="6"/>
      <c r="H823" s="25"/>
      <c r="I823" s="133"/>
      <c r="J823" s="6"/>
      <c r="K823" s="6"/>
      <c r="L823" s="6"/>
      <c r="M823" s="6"/>
      <c r="N823" s="84"/>
      <c r="O823" s="80" t="str">
        <f>IF(N823="","",VLOOKUP(N823,ROLES!B:C,2,FALSE))</f>
        <v/>
      </c>
      <c r="P823" s="6"/>
      <c r="Q823" s="6"/>
      <c r="R823" s="16">
        <f t="shared" si="26"/>
        <v>0</v>
      </c>
      <c r="S823" s="16"/>
      <c r="T823" s="80" t="str">
        <f>IF(S823="","",VLOOKUP(S823,VALORACION!F:G,2,FALSE))</f>
        <v/>
      </c>
      <c r="U823" s="11"/>
      <c r="V823" s="80" t="str">
        <f>IF(U823="","",VLOOKUP(U823,ROLES!G:H,2,FALSE))</f>
        <v/>
      </c>
      <c r="W823" s="6"/>
      <c r="X823" s="6"/>
      <c r="Y823" s="95" t="e">
        <f t="shared" si="25"/>
        <v>#VALUE!</v>
      </c>
      <c r="Z823" s="6"/>
      <c r="AA823" s="6"/>
    </row>
    <row r="824" spans="1:27" ht="28.95" customHeight="1" x14ac:dyDescent="0.3">
      <c r="A824" s="91"/>
      <c r="B824" s="91"/>
      <c r="C824" s="80"/>
      <c r="D824" s="91"/>
      <c r="E824" s="80"/>
      <c r="F824" s="6"/>
      <c r="G824" s="6"/>
      <c r="H824" s="25"/>
      <c r="I824" s="133"/>
      <c r="J824" s="6"/>
      <c r="K824" s="6"/>
      <c r="L824" s="6"/>
      <c r="M824" s="6"/>
      <c r="N824" s="84"/>
      <c r="O824" s="80" t="str">
        <f>IF(N824="","",VLOOKUP(N824,ROLES!B:C,2,FALSE))</f>
        <v/>
      </c>
      <c r="P824" s="6"/>
      <c r="Q824" s="6"/>
      <c r="R824" s="16">
        <f t="shared" si="26"/>
        <v>0</v>
      </c>
      <c r="S824" s="16"/>
      <c r="T824" s="80" t="str">
        <f>IF(S824="","",VLOOKUP(S824,VALORACION!F:G,2,FALSE))</f>
        <v/>
      </c>
      <c r="U824" s="11"/>
      <c r="V824" s="80" t="str">
        <f>IF(U824="","",VLOOKUP(U824,ROLES!G:H,2,FALSE))</f>
        <v/>
      </c>
      <c r="W824" s="6"/>
      <c r="X824" s="6"/>
      <c r="Y824" s="95" t="e">
        <f t="shared" si="25"/>
        <v>#VALUE!</v>
      </c>
      <c r="Z824" s="6"/>
      <c r="AA824" s="6"/>
    </row>
    <row r="825" spans="1:27" ht="28.95" customHeight="1" x14ac:dyDescent="0.3">
      <c r="A825" s="91"/>
      <c r="B825" s="91"/>
      <c r="C825" s="80"/>
      <c r="D825" s="91"/>
      <c r="E825" s="80"/>
      <c r="F825" s="6"/>
      <c r="G825" s="6"/>
      <c r="H825" s="25"/>
      <c r="I825" s="133"/>
      <c r="J825" s="6"/>
      <c r="K825" s="6"/>
      <c r="L825" s="6"/>
      <c r="M825" s="6"/>
      <c r="N825" s="84"/>
      <c r="O825" s="80" t="str">
        <f>IF(N825="","",VLOOKUP(N825,ROLES!B:C,2,FALSE))</f>
        <v/>
      </c>
      <c r="P825" s="6"/>
      <c r="Q825" s="6"/>
      <c r="R825" s="16">
        <f t="shared" si="26"/>
        <v>0</v>
      </c>
      <c r="S825" s="16"/>
      <c r="T825" s="80" t="str">
        <f>IF(S825="","",VLOOKUP(S825,VALORACION!F:G,2,FALSE))</f>
        <v/>
      </c>
      <c r="U825" s="11"/>
      <c r="V825" s="80" t="str">
        <f>IF(U825="","",VLOOKUP(U825,ROLES!G:H,2,FALSE))</f>
        <v/>
      </c>
      <c r="W825" s="6"/>
      <c r="X825" s="6"/>
      <c r="Y825" s="95" t="e">
        <f t="shared" si="25"/>
        <v>#VALUE!</v>
      </c>
      <c r="Z825" s="6"/>
      <c r="AA825" s="6"/>
    </row>
    <row r="826" spans="1:27" ht="28.95" customHeight="1" x14ac:dyDescent="0.3">
      <c r="A826" s="91"/>
      <c r="B826" s="91"/>
      <c r="C826" s="80"/>
      <c r="D826" s="91"/>
      <c r="E826" s="80"/>
      <c r="F826" s="6"/>
      <c r="G826" s="6"/>
      <c r="H826" s="25"/>
      <c r="I826" s="133"/>
      <c r="J826" s="6"/>
      <c r="K826" s="6"/>
      <c r="L826" s="6"/>
      <c r="M826" s="6"/>
      <c r="N826" s="84"/>
      <c r="O826" s="80" t="str">
        <f>IF(N826="","",VLOOKUP(N826,ROLES!B:C,2,FALSE))</f>
        <v/>
      </c>
      <c r="P826" s="6"/>
      <c r="Q826" s="6"/>
      <c r="R826" s="16">
        <f t="shared" si="26"/>
        <v>0</v>
      </c>
      <c r="S826" s="16"/>
      <c r="T826" s="80" t="str">
        <f>IF(S826="","",VLOOKUP(S826,VALORACION!F:G,2,FALSE))</f>
        <v/>
      </c>
      <c r="U826" s="11"/>
      <c r="V826" s="80" t="str">
        <f>IF(U826="","",VLOOKUP(U826,ROLES!G:H,2,FALSE))</f>
        <v/>
      </c>
      <c r="W826" s="6"/>
      <c r="X826" s="6"/>
      <c r="Y826" s="95" t="e">
        <f t="shared" si="25"/>
        <v>#VALUE!</v>
      </c>
      <c r="Z826" s="6"/>
      <c r="AA826" s="6"/>
    </row>
    <row r="827" spans="1:27" ht="28.95" customHeight="1" x14ac:dyDescent="0.3">
      <c r="A827" s="91"/>
      <c r="B827" s="91"/>
      <c r="C827" s="80"/>
      <c r="D827" s="91"/>
      <c r="E827" s="80"/>
      <c r="F827" s="6"/>
      <c r="G827" s="6"/>
      <c r="H827" s="25"/>
      <c r="I827" s="133"/>
      <c r="J827" s="6"/>
      <c r="K827" s="6"/>
      <c r="L827" s="6"/>
      <c r="M827" s="6"/>
      <c r="N827" s="84"/>
      <c r="O827" s="80" t="str">
        <f>IF(N827="","",VLOOKUP(N827,ROLES!B:C,2,FALSE))</f>
        <v/>
      </c>
      <c r="P827" s="6"/>
      <c r="Q827" s="6"/>
      <c r="R827" s="16">
        <f t="shared" si="26"/>
        <v>0</v>
      </c>
      <c r="S827" s="16"/>
      <c r="T827" s="80" t="str">
        <f>IF(S827="","",VLOOKUP(S827,VALORACION!F:G,2,FALSE))</f>
        <v/>
      </c>
      <c r="U827" s="11"/>
      <c r="V827" s="80" t="str">
        <f>IF(U827="","",VLOOKUP(U827,ROLES!G:H,2,FALSE))</f>
        <v/>
      </c>
      <c r="W827" s="6"/>
      <c r="X827" s="6"/>
      <c r="Y827" s="95" t="e">
        <f t="shared" si="25"/>
        <v>#VALUE!</v>
      </c>
      <c r="Z827" s="6"/>
      <c r="AA827" s="6"/>
    </row>
    <row r="828" spans="1:27" ht="28.95" customHeight="1" x14ac:dyDescent="0.3">
      <c r="A828" s="91"/>
      <c r="B828" s="91"/>
      <c r="C828" s="80"/>
      <c r="D828" s="91"/>
      <c r="E828" s="80"/>
      <c r="F828" s="6"/>
      <c r="G828" s="6"/>
      <c r="H828" s="25"/>
      <c r="I828" s="133"/>
      <c r="J828" s="6"/>
      <c r="K828" s="6"/>
      <c r="L828" s="6"/>
      <c r="M828" s="6"/>
      <c r="N828" s="84"/>
      <c r="O828" s="80" t="str">
        <f>IF(N828="","",VLOOKUP(N828,ROLES!B:C,2,FALSE))</f>
        <v/>
      </c>
      <c r="P828" s="6"/>
      <c r="Q828" s="6"/>
      <c r="R828" s="16">
        <f t="shared" si="26"/>
        <v>0</v>
      </c>
      <c r="S828" s="16"/>
      <c r="T828" s="80" t="str">
        <f>IF(S828="","",VLOOKUP(S828,VALORACION!F:G,2,FALSE))</f>
        <v/>
      </c>
      <c r="U828" s="11"/>
      <c r="V828" s="80" t="str">
        <f>IF(U828="","",VLOOKUP(U828,ROLES!G:H,2,FALSE))</f>
        <v/>
      </c>
      <c r="W828" s="6"/>
      <c r="X828" s="6"/>
      <c r="Y828" s="95" t="e">
        <f t="shared" si="25"/>
        <v>#VALUE!</v>
      </c>
      <c r="Z828" s="6"/>
      <c r="AA828" s="6"/>
    </row>
    <row r="829" spans="1:27" ht="28.95" customHeight="1" x14ac:dyDescent="0.3">
      <c r="A829" s="91"/>
      <c r="B829" s="91"/>
      <c r="C829" s="80"/>
      <c r="D829" s="91"/>
      <c r="E829" s="80"/>
      <c r="F829" s="6"/>
      <c r="G829" s="6"/>
      <c r="H829" s="25"/>
      <c r="I829" s="133"/>
      <c r="J829" s="6"/>
      <c r="K829" s="6"/>
      <c r="L829" s="6"/>
      <c r="M829" s="6"/>
      <c r="N829" s="84"/>
      <c r="O829" s="80" t="str">
        <f>IF(N829="","",VLOOKUP(N829,ROLES!B:C,2,FALSE))</f>
        <v/>
      </c>
      <c r="P829" s="6"/>
      <c r="Q829" s="6"/>
      <c r="R829" s="16">
        <f t="shared" si="26"/>
        <v>0</v>
      </c>
      <c r="S829" s="16"/>
      <c r="T829" s="80" t="str">
        <f>IF(S829="","",VLOOKUP(S829,VALORACION!F:G,2,FALSE))</f>
        <v/>
      </c>
      <c r="U829" s="11"/>
      <c r="V829" s="80" t="str">
        <f>IF(U829="","",VLOOKUP(U829,ROLES!G:H,2,FALSE))</f>
        <v/>
      </c>
      <c r="W829" s="6"/>
      <c r="X829" s="6"/>
      <c r="Y829" s="95" t="e">
        <f t="shared" si="25"/>
        <v>#VALUE!</v>
      </c>
      <c r="Z829" s="6"/>
      <c r="AA829" s="6"/>
    </row>
    <row r="830" spans="1:27" ht="28.95" customHeight="1" x14ac:dyDescent="0.3">
      <c r="A830" s="91"/>
      <c r="B830" s="91"/>
      <c r="C830" s="80"/>
      <c r="D830" s="91"/>
      <c r="E830" s="80"/>
      <c r="F830" s="6"/>
      <c r="G830" s="6"/>
      <c r="H830" s="25"/>
      <c r="I830" s="133"/>
      <c r="J830" s="6"/>
      <c r="K830" s="6"/>
      <c r="L830" s="6"/>
      <c r="M830" s="6"/>
      <c r="N830" s="84"/>
      <c r="O830" s="80" t="str">
        <f>IF(N830="","",VLOOKUP(N830,ROLES!B:C,2,FALSE))</f>
        <v/>
      </c>
      <c r="P830" s="6"/>
      <c r="Q830" s="6"/>
      <c r="R830" s="16">
        <f t="shared" si="26"/>
        <v>0</v>
      </c>
      <c r="S830" s="16"/>
      <c r="T830" s="80" t="str">
        <f>IF(S830="","",VLOOKUP(S830,VALORACION!F:G,2,FALSE))</f>
        <v/>
      </c>
      <c r="U830" s="11"/>
      <c r="V830" s="80" t="str">
        <f>IF(U830="","",VLOOKUP(U830,ROLES!G:H,2,FALSE))</f>
        <v/>
      </c>
      <c r="W830" s="6"/>
      <c r="X830" s="6"/>
      <c r="Y830" s="95" t="e">
        <f t="shared" si="25"/>
        <v>#VALUE!</v>
      </c>
      <c r="Z830" s="6"/>
      <c r="AA830" s="6"/>
    </row>
    <row r="831" spans="1:27" ht="28.95" customHeight="1" x14ac:dyDescent="0.3">
      <c r="A831" s="91"/>
      <c r="B831" s="91"/>
      <c r="C831" s="80"/>
      <c r="D831" s="91"/>
      <c r="E831" s="80"/>
      <c r="F831" s="6"/>
      <c r="G831" s="6"/>
      <c r="H831" s="25"/>
      <c r="I831" s="133"/>
      <c r="J831" s="6"/>
      <c r="K831" s="6"/>
      <c r="L831" s="6"/>
      <c r="M831" s="6"/>
      <c r="N831" s="84"/>
      <c r="O831" s="80" t="str">
        <f>IF(N831="","",VLOOKUP(N831,ROLES!B:C,2,FALSE))</f>
        <v/>
      </c>
      <c r="P831" s="6"/>
      <c r="Q831" s="6"/>
      <c r="R831" s="16">
        <f t="shared" si="26"/>
        <v>0</v>
      </c>
      <c r="S831" s="16"/>
      <c r="T831" s="80" t="str">
        <f>IF(S831="","",VLOOKUP(S831,VALORACION!F:G,2,FALSE))</f>
        <v/>
      </c>
      <c r="U831" s="11"/>
      <c r="V831" s="80" t="str">
        <f>IF(U831="","",VLOOKUP(U831,ROLES!G:H,2,FALSE))</f>
        <v/>
      </c>
      <c r="W831" s="6"/>
      <c r="X831" s="6"/>
      <c r="Y831" s="95" t="e">
        <f t="shared" si="25"/>
        <v>#VALUE!</v>
      </c>
      <c r="Z831" s="6"/>
      <c r="AA831" s="6"/>
    </row>
    <row r="832" spans="1:27" ht="28.95" customHeight="1" x14ac:dyDescent="0.3">
      <c r="A832" s="91"/>
      <c r="B832" s="91"/>
      <c r="C832" s="80"/>
      <c r="D832" s="91"/>
      <c r="E832" s="80"/>
      <c r="F832" s="6"/>
      <c r="G832" s="6"/>
      <c r="H832" s="25"/>
      <c r="I832" s="133"/>
      <c r="J832" s="6"/>
      <c r="K832" s="6"/>
      <c r="L832" s="6"/>
      <c r="M832" s="6"/>
      <c r="N832" s="84"/>
      <c r="O832" s="80" t="str">
        <f>IF(N832="","",VLOOKUP(N832,ROLES!B:C,2,FALSE))</f>
        <v/>
      </c>
      <c r="P832" s="6"/>
      <c r="Q832" s="6"/>
      <c r="R832" s="16">
        <f t="shared" si="26"/>
        <v>0</v>
      </c>
      <c r="S832" s="16"/>
      <c r="T832" s="80" t="str">
        <f>IF(S832="","",VLOOKUP(S832,VALORACION!F:G,2,FALSE))</f>
        <v/>
      </c>
      <c r="U832" s="11"/>
      <c r="V832" s="80" t="str">
        <f>IF(U832="","",VLOOKUP(U832,ROLES!G:H,2,FALSE))</f>
        <v/>
      </c>
      <c r="W832" s="6"/>
      <c r="X832" s="6"/>
      <c r="Y832" s="95" t="e">
        <f t="shared" si="25"/>
        <v>#VALUE!</v>
      </c>
      <c r="Z832" s="6"/>
      <c r="AA832" s="6"/>
    </row>
    <row r="833" spans="1:27" ht="28.95" customHeight="1" x14ac:dyDescent="0.3">
      <c r="A833" s="91"/>
      <c r="B833" s="91"/>
      <c r="C833" s="80"/>
      <c r="D833" s="91"/>
      <c r="E833" s="80"/>
      <c r="F833" s="6"/>
      <c r="G833" s="6"/>
      <c r="H833" s="25"/>
      <c r="I833" s="133"/>
      <c r="J833" s="6"/>
      <c r="K833" s="6"/>
      <c r="L833" s="6"/>
      <c r="M833" s="6"/>
      <c r="N833" s="84"/>
      <c r="O833" s="80" t="str">
        <f>IF(N833="","",VLOOKUP(N833,ROLES!B:C,2,FALSE))</f>
        <v/>
      </c>
      <c r="P833" s="6"/>
      <c r="Q833" s="6"/>
      <c r="R833" s="16">
        <f t="shared" si="26"/>
        <v>0</v>
      </c>
      <c r="S833" s="16"/>
      <c r="T833" s="80" t="str">
        <f>IF(S833="","",VLOOKUP(S833,VALORACION!F:G,2,FALSE))</f>
        <v/>
      </c>
      <c r="U833" s="11"/>
      <c r="V833" s="80" t="str">
        <f>IF(U833="","",VLOOKUP(U833,ROLES!G:H,2,FALSE))</f>
        <v/>
      </c>
      <c r="W833" s="6"/>
      <c r="X833" s="6"/>
      <c r="Y833" s="95" t="e">
        <f t="shared" si="25"/>
        <v>#VALUE!</v>
      </c>
      <c r="Z833" s="6"/>
      <c r="AA833" s="6"/>
    </row>
    <row r="834" spans="1:27" ht="28.95" customHeight="1" x14ac:dyDescent="0.3">
      <c r="A834" s="91"/>
      <c r="B834" s="91"/>
      <c r="C834" s="80"/>
      <c r="D834" s="91"/>
      <c r="E834" s="80"/>
      <c r="F834" s="6"/>
      <c r="G834" s="6"/>
      <c r="H834" s="25"/>
      <c r="I834" s="133"/>
      <c r="J834" s="6"/>
      <c r="K834" s="6"/>
      <c r="L834" s="6"/>
      <c r="M834" s="6"/>
      <c r="N834" s="84"/>
      <c r="O834" s="80" t="str">
        <f>IF(N834="","",VLOOKUP(N834,ROLES!B:C,2,FALSE))</f>
        <v/>
      </c>
      <c r="P834" s="6"/>
      <c r="Q834" s="6"/>
      <c r="R834" s="16">
        <f t="shared" si="26"/>
        <v>0</v>
      </c>
      <c r="S834" s="16"/>
      <c r="T834" s="80" t="str">
        <f>IF(S834="","",VLOOKUP(S834,VALORACION!F:G,2,FALSE))</f>
        <v/>
      </c>
      <c r="U834" s="11"/>
      <c r="V834" s="80" t="str">
        <f>IF(U834="","",VLOOKUP(U834,ROLES!G:H,2,FALSE))</f>
        <v/>
      </c>
      <c r="W834" s="6"/>
      <c r="X834" s="6"/>
      <c r="Y834" s="95" t="e">
        <f t="shared" si="25"/>
        <v>#VALUE!</v>
      </c>
      <c r="Z834" s="6"/>
      <c r="AA834" s="6"/>
    </row>
    <row r="835" spans="1:27" ht="28.95" customHeight="1" x14ac:dyDescent="0.3">
      <c r="A835" s="91"/>
      <c r="B835" s="91"/>
      <c r="C835" s="80"/>
      <c r="D835" s="91"/>
      <c r="E835" s="80"/>
      <c r="F835" s="6"/>
      <c r="G835" s="6"/>
      <c r="H835" s="25"/>
      <c r="I835" s="133"/>
      <c r="J835" s="6"/>
      <c r="K835" s="6"/>
      <c r="L835" s="6"/>
      <c r="M835" s="6"/>
      <c r="N835" s="84"/>
      <c r="O835" s="80" t="str">
        <f>IF(N835="","",VLOOKUP(N835,ROLES!B:C,2,FALSE))</f>
        <v/>
      </c>
      <c r="P835" s="6"/>
      <c r="Q835" s="6"/>
      <c r="R835" s="16">
        <f t="shared" si="26"/>
        <v>0</v>
      </c>
      <c r="S835" s="16"/>
      <c r="T835" s="80" t="str">
        <f>IF(S835="","",VLOOKUP(S835,VALORACION!F:G,2,FALSE))</f>
        <v/>
      </c>
      <c r="U835" s="11"/>
      <c r="V835" s="80" t="str">
        <f>IF(U835="","",VLOOKUP(U835,ROLES!G:H,2,FALSE))</f>
        <v/>
      </c>
      <c r="W835" s="6"/>
      <c r="X835" s="6"/>
      <c r="Y835" s="95" t="e">
        <f t="shared" si="25"/>
        <v>#VALUE!</v>
      </c>
      <c r="Z835" s="6"/>
      <c r="AA835" s="6"/>
    </row>
    <row r="836" spans="1:27" ht="28.95" customHeight="1" x14ac:dyDescent="0.3">
      <c r="A836" s="91"/>
      <c r="B836" s="91"/>
      <c r="C836" s="80"/>
      <c r="D836" s="91"/>
      <c r="E836" s="80"/>
      <c r="F836" s="6"/>
      <c r="G836" s="6"/>
      <c r="H836" s="25"/>
      <c r="I836" s="133"/>
      <c r="J836" s="6"/>
      <c r="K836" s="6"/>
      <c r="L836" s="6"/>
      <c r="M836" s="6"/>
      <c r="N836" s="84"/>
      <c r="O836" s="80" t="str">
        <f>IF(N836="","",VLOOKUP(N836,ROLES!B:C,2,FALSE))</f>
        <v/>
      </c>
      <c r="P836" s="6"/>
      <c r="Q836" s="6"/>
      <c r="R836" s="16">
        <f t="shared" si="26"/>
        <v>0</v>
      </c>
      <c r="S836" s="16"/>
      <c r="T836" s="80" t="str">
        <f>IF(S836="","",VLOOKUP(S836,VALORACION!F:G,2,FALSE))</f>
        <v/>
      </c>
      <c r="U836" s="11"/>
      <c r="V836" s="80" t="str">
        <f>IF(U836="","",VLOOKUP(U836,ROLES!G:H,2,FALSE))</f>
        <v/>
      </c>
      <c r="W836" s="6"/>
      <c r="X836" s="6"/>
      <c r="Y836" s="95" t="e">
        <f t="shared" si="25"/>
        <v>#VALUE!</v>
      </c>
      <c r="Z836" s="6"/>
      <c r="AA836" s="6"/>
    </row>
    <row r="837" spans="1:27" ht="28.95" customHeight="1" x14ac:dyDescent="0.3">
      <c r="A837" s="91"/>
      <c r="B837" s="91"/>
      <c r="C837" s="80"/>
      <c r="D837" s="91"/>
      <c r="E837" s="80"/>
      <c r="F837" s="6"/>
      <c r="G837" s="6"/>
      <c r="H837" s="25"/>
      <c r="I837" s="133"/>
      <c r="J837" s="6"/>
      <c r="K837" s="6"/>
      <c r="L837" s="6"/>
      <c r="M837" s="6"/>
      <c r="N837" s="84"/>
      <c r="O837" s="80" t="str">
        <f>IF(N837="","",VLOOKUP(N837,ROLES!B:C,2,FALSE))</f>
        <v/>
      </c>
      <c r="P837" s="6"/>
      <c r="Q837" s="6"/>
      <c r="R837" s="16">
        <f t="shared" si="26"/>
        <v>0</v>
      </c>
      <c r="S837" s="16"/>
      <c r="T837" s="80" t="str">
        <f>IF(S837="","",VLOOKUP(S837,VALORACION!F:G,2,FALSE))</f>
        <v/>
      </c>
      <c r="U837" s="11"/>
      <c r="V837" s="80" t="str">
        <f>IF(U837="","",VLOOKUP(U837,ROLES!G:H,2,FALSE))</f>
        <v/>
      </c>
      <c r="W837" s="6"/>
      <c r="X837" s="6"/>
      <c r="Y837" s="95" t="e">
        <f t="shared" ref="Y837:Y900" si="27">(VALUE(O837)+VALUE(V837)+VALUE(X837)+VALUE(T837))/3</f>
        <v>#VALUE!</v>
      </c>
      <c r="Z837" s="6"/>
      <c r="AA837" s="6"/>
    </row>
    <row r="838" spans="1:27" ht="28.95" customHeight="1" x14ac:dyDescent="0.3">
      <c r="A838" s="91"/>
      <c r="B838" s="91"/>
      <c r="C838" s="80"/>
      <c r="D838" s="91"/>
      <c r="E838" s="80"/>
      <c r="F838" s="6"/>
      <c r="G838" s="6"/>
      <c r="H838" s="25"/>
      <c r="I838" s="133"/>
      <c r="J838" s="6"/>
      <c r="K838" s="6"/>
      <c r="L838" s="6"/>
      <c r="M838" s="6"/>
      <c r="N838" s="84"/>
      <c r="O838" s="80" t="str">
        <f>IF(N838="","",VLOOKUP(N838,ROLES!B:C,2,FALSE))</f>
        <v/>
      </c>
      <c r="P838" s="6"/>
      <c r="Q838" s="6"/>
      <c r="R838" s="16">
        <f t="shared" si="26"/>
        <v>0</v>
      </c>
      <c r="S838" s="16"/>
      <c r="T838" s="80" t="str">
        <f>IF(S838="","",VLOOKUP(S838,VALORACION!F:G,2,FALSE))</f>
        <v/>
      </c>
      <c r="U838" s="11"/>
      <c r="V838" s="80" t="str">
        <f>IF(U838="","",VLOOKUP(U838,ROLES!G:H,2,FALSE))</f>
        <v/>
      </c>
      <c r="W838" s="6"/>
      <c r="X838" s="6"/>
      <c r="Y838" s="95" t="e">
        <f t="shared" si="27"/>
        <v>#VALUE!</v>
      </c>
      <c r="Z838" s="6"/>
      <c r="AA838" s="6"/>
    </row>
    <row r="839" spans="1:27" ht="28.95" customHeight="1" x14ac:dyDescent="0.3">
      <c r="A839" s="91"/>
      <c r="B839" s="91"/>
      <c r="C839" s="80"/>
      <c r="D839" s="91"/>
      <c r="E839" s="80"/>
      <c r="F839" s="6"/>
      <c r="G839" s="6"/>
      <c r="H839" s="25"/>
      <c r="I839" s="133"/>
      <c r="J839" s="6"/>
      <c r="K839" s="6"/>
      <c r="L839" s="6"/>
      <c r="M839" s="6"/>
      <c r="N839" s="84"/>
      <c r="O839" s="80" t="str">
        <f>IF(N839="","",VLOOKUP(N839,ROLES!B:C,2,FALSE))</f>
        <v/>
      </c>
      <c r="P839" s="6"/>
      <c r="Q839" s="6"/>
      <c r="R839" s="16">
        <f t="shared" ref="R839:R902" si="28">DATEDIF(P839,Q839,"m")</f>
        <v>0</v>
      </c>
      <c r="S839" s="16"/>
      <c r="T839" s="80" t="str">
        <f>IF(S839="","",VLOOKUP(S839,VALORACION!F:G,2,FALSE))</f>
        <v/>
      </c>
      <c r="U839" s="11"/>
      <c r="V839" s="80" t="str">
        <f>IF(U839="","",VLOOKUP(U839,ROLES!G:H,2,FALSE))</f>
        <v/>
      </c>
      <c r="W839" s="6"/>
      <c r="X839" s="6"/>
      <c r="Y839" s="95" t="e">
        <f t="shared" si="27"/>
        <v>#VALUE!</v>
      </c>
      <c r="Z839" s="6"/>
      <c r="AA839" s="6"/>
    </row>
    <row r="840" spans="1:27" ht="28.95" customHeight="1" x14ac:dyDescent="0.3">
      <c r="A840" s="91"/>
      <c r="B840" s="91"/>
      <c r="C840" s="80"/>
      <c r="D840" s="91"/>
      <c r="E840" s="80"/>
      <c r="F840" s="6"/>
      <c r="G840" s="6"/>
      <c r="H840" s="25"/>
      <c r="I840" s="133"/>
      <c r="J840" s="6"/>
      <c r="K840" s="6"/>
      <c r="L840" s="6"/>
      <c r="M840" s="6"/>
      <c r="N840" s="84"/>
      <c r="O840" s="80" t="str">
        <f>IF(N840="","",VLOOKUP(N840,ROLES!B:C,2,FALSE))</f>
        <v/>
      </c>
      <c r="P840" s="6"/>
      <c r="Q840" s="6"/>
      <c r="R840" s="16">
        <f t="shared" si="28"/>
        <v>0</v>
      </c>
      <c r="S840" s="16"/>
      <c r="T840" s="80" t="str">
        <f>IF(S840="","",VLOOKUP(S840,VALORACION!F:G,2,FALSE))</f>
        <v/>
      </c>
      <c r="U840" s="11"/>
      <c r="V840" s="80" t="str">
        <f>IF(U840="","",VLOOKUP(U840,ROLES!G:H,2,FALSE))</f>
        <v/>
      </c>
      <c r="W840" s="6"/>
      <c r="X840" s="6"/>
      <c r="Y840" s="95" t="e">
        <f t="shared" si="27"/>
        <v>#VALUE!</v>
      </c>
      <c r="Z840" s="6"/>
      <c r="AA840" s="6"/>
    </row>
    <row r="841" spans="1:27" ht="28.95" customHeight="1" x14ac:dyDescent="0.3">
      <c r="A841" s="91"/>
      <c r="B841" s="91"/>
      <c r="C841" s="80"/>
      <c r="D841" s="91"/>
      <c r="E841" s="80"/>
      <c r="F841" s="6"/>
      <c r="G841" s="6"/>
      <c r="H841" s="25"/>
      <c r="I841" s="133"/>
      <c r="J841" s="6"/>
      <c r="K841" s="6"/>
      <c r="L841" s="6"/>
      <c r="M841" s="6"/>
      <c r="N841" s="84"/>
      <c r="O841" s="80" t="str">
        <f>IF(N841="","",VLOOKUP(N841,ROLES!B:C,2,FALSE))</f>
        <v/>
      </c>
      <c r="P841" s="6"/>
      <c r="Q841" s="6"/>
      <c r="R841" s="16">
        <f t="shared" si="28"/>
        <v>0</v>
      </c>
      <c r="S841" s="16"/>
      <c r="T841" s="80" t="str">
        <f>IF(S841="","",VLOOKUP(S841,VALORACION!F:G,2,FALSE))</f>
        <v/>
      </c>
      <c r="U841" s="11"/>
      <c r="V841" s="80" t="str">
        <f>IF(U841="","",VLOOKUP(U841,ROLES!G:H,2,FALSE))</f>
        <v/>
      </c>
      <c r="W841" s="6"/>
      <c r="X841" s="6"/>
      <c r="Y841" s="95" t="e">
        <f t="shared" si="27"/>
        <v>#VALUE!</v>
      </c>
      <c r="Z841" s="6"/>
      <c r="AA841" s="6"/>
    </row>
    <row r="842" spans="1:27" ht="28.95" customHeight="1" x14ac:dyDescent="0.3">
      <c r="A842" s="91"/>
      <c r="B842" s="91"/>
      <c r="C842" s="80"/>
      <c r="D842" s="91"/>
      <c r="E842" s="80"/>
      <c r="F842" s="6"/>
      <c r="G842" s="6"/>
      <c r="H842" s="25"/>
      <c r="I842" s="133"/>
      <c r="J842" s="6"/>
      <c r="K842" s="6"/>
      <c r="L842" s="6"/>
      <c r="M842" s="6"/>
      <c r="N842" s="84"/>
      <c r="O842" s="80" t="str">
        <f>IF(N842="","",VLOOKUP(N842,ROLES!B:C,2,FALSE))</f>
        <v/>
      </c>
      <c r="P842" s="6"/>
      <c r="Q842" s="6"/>
      <c r="R842" s="16">
        <f t="shared" si="28"/>
        <v>0</v>
      </c>
      <c r="S842" s="16"/>
      <c r="T842" s="80" t="str">
        <f>IF(S842="","",VLOOKUP(S842,VALORACION!F:G,2,FALSE))</f>
        <v/>
      </c>
      <c r="U842" s="11"/>
      <c r="V842" s="80" t="str">
        <f>IF(U842="","",VLOOKUP(U842,ROLES!G:H,2,FALSE))</f>
        <v/>
      </c>
      <c r="W842" s="6"/>
      <c r="X842" s="6"/>
      <c r="Y842" s="95" t="e">
        <f t="shared" si="27"/>
        <v>#VALUE!</v>
      </c>
      <c r="Z842" s="6"/>
      <c r="AA842" s="6"/>
    </row>
    <row r="843" spans="1:27" ht="28.95" customHeight="1" x14ac:dyDescent="0.3">
      <c r="A843" s="91"/>
      <c r="B843" s="91"/>
      <c r="C843" s="80"/>
      <c r="D843" s="91"/>
      <c r="E843" s="80"/>
      <c r="F843" s="6"/>
      <c r="G843" s="6"/>
      <c r="H843" s="25"/>
      <c r="I843" s="133"/>
      <c r="J843" s="6"/>
      <c r="K843" s="6"/>
      <c r="L843" s="6"/>
      <c r="M843" s="6"/>
      <c r="N843" s="84"/>
      <c r="O843" s="80" t="str">
        <f>IF(N843="","",VLOOKUP(N843,ROLES!B:C,2,FALSE))</f>
        <v/>
      </c>
      <c r="P843" s="6"/>
      <c r="Q843" s="6"/>
      <c r="R843" s="16">
        <f t="shared" si="28"/>
        <v>0</v>
      </c>
      <c r="S843" s="16"/>
      <c r="T843" s="80" t="str">
        <f>IF(S843="","",VLOOKUP(S843,VALORACION!F:G,2,FALSE))</f>
        <v/>
      </c>
      <c r="U843" s="11"/>
      <c r="V843" s="80" t="str">
        <f>IF(U843="","",VLOOKUP(U843,ROLES!G:H,2,FALSE))</f>
        <v/>
      </c>
      <c r="W843" s="6"/>
      <c r="X843" s="6"/>
      <c r="Y843" s="95" t="e">
        <f t="shared" si="27"/>
        <v>#VALUE!</v>
      </c>
      <c r="Z843" s="6"/>
      <c r="AA843" s="6"/>
    </row>
    <row r="844" spans="1:27" ht="28.95" customHeight="1" x14ac:dyDescent="0.3">
      <c r="A844" s="91"/>
      <c r="B844" s="91"/>
      <c r="C844" s="80"/>
      <c r="D844" s="91"/>
      <c r="E844" s="80"/>
      <c r="F844" s="6"/>
      <c r="G844" s="6"/>
      <c r="H844" s="25"/>
      <c r="I844" s="133"/>
      <c r="J844" s="6"/>
      <c r="K844" s="6"/>
      <c r="L844" s="6"/>
      <c r="M844" s="6"/>
      <c r="N844" s="84"/>
      <c r="O844" s="80" t="str">
        <f>IF(N844="","",VLOOKUP(N844,ROLES!B:C,2,FALSE))</f>
        <v/>
      </c>
      <c r="P844" s="6"/>
      <c r="Q844" s="6"/>
      <c r="R844" s="16">
        <f t="shared" si="28"/>
        <v>0</v>
      </c>
      <c r="S844" s="16"/>
      <c r="T844" s="80" t="str">
        <f>IF(S844="","",VLOOKUP(S844,VALORACION!F:G,2,FALSE))</f>
        <v/>
      </c>
      <c r="U844" s="11"/>
      <c r="V844" s="80" t="str">
        <f>IF(U844="","",VLOOKUP(U844,ROLES!G:H,2,FALSE))</f>
        <v/>
      </c>
      <c r="W844" s="6"/>
      <c r="X844" s="6"/>
      <c r="Y844" s="95" t="e">
        <f t="shared" si="27"/>
        <v>#VALUE!</v>
      </c>
      <c r="Z844" s="6"/>
      <c r="AA844" s="6"/>
    </row>
    <row r="845" spans="1:27" ht="28.95" customHeight="1" x14ac:dyDescent="0.3">
      <c r="A845" s="91"/>
      <c r="B845" s="91"/>
      <c r="C845" s="80"/>
      <c r="D845" s="91"/>
      <c r="E845" s="80"/>
      <c r="F845" s="6"/>
      <c r="G845" s="6"/>
      <c r="H845" s="25"/>
      <c r="I845" s="133"/>
      <c r="J845" s="6"/>
      <c r="K845" s="6"/>
      <c r="L845" s="6"/>
      <c r="M845" s="6"/>
      <c r="N845" s="84"/>
      <c r="O845" s="80" t="str">
        <f>IF(N845="","",VLOOKUP(N845,ROLES!B:C,2,FALSE))</f>
        <v/>
      </c>
      <c r="P845" s="6"/>
      <c r="Q845" s="6"/>
      <c r="R845" s="16">
        <f t="shared" si="28"/>
        <v>0</v>
      </c>
      <c r="S845" s="16"/>
      <c r="T845" s="80" t="str">
        <f>IF(S845="","",VLOOKUP(S845,VALORACION!F:G,2,FALSE))</f>
        <v/>
      </c>
      <c r="U845" s="11"/>
      <c r="V845" s="80" t="str">
        <f>IF(U845="","",VLOOKUP(U845,ROLES!G:H,2,FALSE))</f>
        <v/>
      </c>
      <c r="W845" s="6"/>
      <c r="X845" s="6"/>
      <c r="Y845" s="95" t="e">
        <f t="shared" si="27"/>
        <v>#VALUE!</v>
      </c>
      <c r="Z845" s="6"/>
      <c r="AA845" s="6"/>
    </row>
    <row r="846" spans="1:27" ht="28.95" customHeight="1" x14ac:dyDescent="0.3">
      <c r="A846" s="91"/>
      <c r="B846" s="91"/>
      <c r="C846" s="80"/>
      <c r="D846" s="91"/>
      <c r="E846" s="80"/>
      <c r="F846" s="6"/>
      <c r="G846" s="6"/>
      <c r="H846" s="25"/>
      <c r="I846" s="133"/>
      <c r="J846" s="6"/>
      <c r="K846" s="6"/>
      <c r="L846" s="6"/>
      <c r="M846" s="6"/>
      <c r="N846" s="84"/>
      <c r="O846" s="80" t="str">
        <f>IF(N846="","",VLOOKUP(N846,ROLES!B:C,2,FALSE))</f>
        <v/>
      </c>
      <c r="P846" s="6"/>
      <c r="Q846" s="6"/>
      <c r="R846" s="16">
        <f t="shared" si="28"/>
        <v>0</v>
      </c>
      <c r="S846" s="16"/>
      <c r="T846" s="80" t="str">
        <f>IF(S846="","",VLOOKUP(S846,VALORACION!F:G,2,FALSE))</f>
        <v/>
      </c>
      <c r="U846" s="11"/>
      <c r="V846" s="80" t="str">
        <f>IF(U846="","",VLOOKUP(U846,ROLES!G:H,2,FALSE))</f>
        <v/>
      </c>
      <c r="W846" s="6"/>
      <c r="X846" s="6"/>
      <c r="Y846" s="95" t="e">
        <f t="shared" si="27"/>
        <v>#VALUE!</v>
      </c>
      <c r="Z846" s="6"/>
      <c r="AA846" s="6"/>
    </row>
    <row r="847" spans="1:27" ht="28.95" customHeight="1" x14ac:dyDescent="0.3">
      <c r="A847" s="91"/>
      <c r="B847" s="91"/>
      <c r="C847" s="80"/>
      <c r="D847" s="91"/>
      <c r="E847" s="80"/>
      <c r="F847" s="6"/>
      <c r="G847" s="6"/>
      <c r="H847" s="25"/>
      <c r="I847" s="133"/>
      <c r="J847" s="6"/>
      <c r="K847" s="6"/>
      <c r="L847" s="6"/>
      <c r="M847" s="6"/>
      <c r="N847" s="84"/>
      <c r="O847" s="80" t="str">
        <f>IF(N847="","",VLOOKUP(N847,ROLES!B:C,2,FALSE))</f>
        <v/>
      </c>
      <c r="P847" s="6"/>
      <c r="Q847" s="6"/>
      <c r="R847" s="16">
        <f t="shared" si="28"/>
        <v>0</v>
      </c>
      <c r="S847" s="16"/>
      <c r="T847" s="80" t="str">
        <f>IF(S847="","",VLOOKUP(S847,VALORACION!F:G,2,FALSE))</f>
        <v/>
      </c>
      <c r="U847" s="11"/>
      <c r="V847" s="80" t="str">
        <f>IF(U847="","",VLOOKUP(U847,ROLES!G:H,2,FALSE))</f>
        <v/>
      </c>
      <c r="W847" s="6"/>
      <c r="X847" s="6"/>
      <c r="Y847" s="95" t="e">
        <f t="shared" si="27"/>
        <v>#VALUE!</v>
      </c>
      <c r="Z847" s="6"/>
      <c r="AA847" s="6"/>
    </row>
    <row r="848" spans="1:27" ht="28.95" customHeight="1" x14ac:dyDescent="0.3">
      <c r="A848" s="91"/>
      <c r="B848" s="91"/>
      <c r="C848" s="80"/>
      <c r="D848" s="91"/>
      <c r="E848" s="80"/>
      <c r="F848" s="6"/>
      <c r="G848" s="6"/>
      <c r="H848" s="25"/>
      <c r="I848" s="133"/>
      <c r="J848" s="6"/>
      <c r="K848" s="6"/>
      <c r="L848" s="6"/>
      <c r="M848" s="6"/>
      <c r="N848" s="84"/>
      <c r="O848" s="80" t="str">
        <f>IF(N848="","",VLOOKUP(N848,ROLES!B:C,2,FALSE))</f>
        <v/>
      </c>
      <c r="P848" s="6"/>
      <c r="Q848" s="6"/>
      <c r="R848" s="16">
        <f t="shared" si="28"/>
        <v>0</v>
      </c>
      <c r="S848" s="16"/>
      <c r="T848" s="80" t="str">
        <f>IF(S848="","",VLOOKUP(S848,VALORACION!F:G,2,FALSE))</f>
        <v/>
      </c>
      <c r="U848" s="11"/>
      <c r="V848" s="80" t="str">
        <f>IF(U848="","",VLOOKUP(U848,ROLES!G:H,2,FALSE))</f>
        <v/>
      </c>
      <c r="W848" s="6"/>
      <c r="X848" s="6"/>
      <c r="Y848" s="95" t="e">
        <f t="shared" si="27"/>
        <v>#VALUE!</v>
      </c>
      <c r="Z848" s="6"/>
      <c r="AA848" s="6"/>
    </row>
    <row r="849" spans="1:27" ht="28.95" customHeight="1" x14ac:dyDescent="0.3">
      <c r="A849" s="91"/>
      <c r="B849" s="91"/>
      <c r="C849" s="80"/>
      <c r="D849" s="91"/>
      <c r="E849" s="80"/>
      <c r="F849" s="6"/>
      <c r="G849" s="6"/>
      <c r="H849" s="25"/>
      <c r="I849" s="133"/>
      <c r="J849" s="6"/>
      <c r="K849" s="6"/>
      <c r="L849" s="6"/>
      <c r="M849" s="6"/>
      <c r="N849" s="84"/>
      <c r="O849" s="80" t="str">
        <f>IF(N849="","",VLOOKUP(N849,ROLES!B:C,2,FALSE))</f>
        <v/>
      </c>
      <c r="P849" s="6"/>
      <c r="Q849" s="6"/>
      <c r="R849" s="16">
        <f t="shared" si="28"/>
        <v>0</v>
      </c>
      <c r="S849" s="16"/>
      <c r="T849" s="80" t="str">
        <f>IF(S849="","",VLOOKUP(S849,VALORACION!F:G,2,FALSE))</f>
        <v/>
      </c>
      <c r="U849" s="11"/>
      <c r="V849" s="80" t="str">
        <f>IF(U849="","",VLOOKUP(U849,ROLES!G:H,2,FALSE))</f>
        <v/>
      </c>
      <c r="W849" s="6"/>
      <c r="X849" s="6"/>
      <c r="Y849" s="95" t="e">
        <f t="shared" si="27"/>
        <v>#VALUE!</v>
      </c>
      <c r="Z849" s="6"/>
      <c r="AA849" s="6"/>
    </row>
    <row r="850" spans="1:27" ht="28.95" customHeight="1" x14ac:dyDescent="0.3">
      <c r="A850" s="91"/>
      <c r="B850" s="91"/>
      <c r="C850" s="80"/>
      <c r="D850" s="91"/>
      <c r="E850" s="80"/>
      <c r="F850" s="6"/>
      <c r="G850" s="6"/>
      <c r="H850" s="25"/>
      <c r="I850" s="133"/>
      <c r="J850" s="6"/>
      <c r="K850" s="6"/>
      <c r="L850" s="6"/>
      <c r="M850" s="6"/>
      <c r="N850" s="84"/>
      <c r="O850" s="80" t="str">
        <f>IF(N850="","",VLOOKUP(N850,ROLES!B:C,2,FALSE))</f>
        <v/>
      </c>
      <c r="P850" s="6"/>
      <c r="Q850" s="6"/>
      <c r="R850" s="16">
        <f t="shared" si="28"/>
        <v>0</v>
      </c>
      <c r="S850" s="16"/>
      <c r="T850" s="80" t="str">
        <f>IF(S850="","",VLOOKUP(S850,VALORACION!F:G,2,FALSE))</f>
        <v/>
      </c>
      <c r="U850" s="11"/>
      <c r="V850" s="80" t="str">
        <f>IF(U850="","",VLOOKUP(U850,ROLES!G:H,2,FALSE))</f>
        <v/>
      </c>
      <c r="W850" s="6"/>
      <c r="X850" s="6"/>
      <c r="Y850" s="95" t="e">
        <f t="shared" si="27"/>
        <v>#VALUE!</v>
      </c>
      <c r="Z850" s="6"/>
      <c r="AA850" s="6"/>
    </row>
    <row r="851" spans="1:27" ht="28.95" customHeight="1" x14ac:dyDescent="0.3">
      <c r="A851" s="91"/>
      <c r="B851" s="91"/>
      <c r="C851" s="80"/>
      <c r="D851" s="91"/>
      <c r="E851" s="80"/>
      <c r="F851" s="6"/>
      <c r="G851" s="6"/>
      <c r="H851" s="25"/>
      <c r="I851" s="133"/>
      <c r="J851" s="6"/>
      <c r="K851" s="6"/>
      <c r="L851" s="6"/>
      <c r="M851" s="6"/>
      <c r="N851" s="84"/>
      <c r="O851" s="80" t="str">
        <f>IF(N851="","",VLOOKUP(N851,ROLES!B:C,2,FALSE))</f>
        <v/>
      </c>
      <c r="P851" s="6"/>
      <c r="Q851" s="6"/>
      <c r="R851" s="16">
        <f t="shared" si="28"/>
        <v>0</v>
      </c>
      <c r="S851" s="16"/>
      <c r="T851" s="80" t="str">
        <f>IF(S851="","",VLOOKUP(S851,VALORACION!F:G,2,FALSE))</f>
        <v/>
      </c>
      <c r="U851" s="11"/>
      <c r="V851" s="80" t="str">
        <f>IF(U851="","",VLOOKUP(U851,ROLES!G:H,2,FALSE))</f>
        <v/>
      </c>
      <c r="W851" s="6"/>
      <c r="X851" s="6"/>
      <c r="Y851" s="95" t="e">
        <f t="shared" si="27"/>
        <v>#VALUE!</v>
      </c>
      <c r="Z851" s="6"/>
      <c r="AA851" s="6"/>
    </row>
    <row r="852" spans="1:27" ht="28.95" customHeight="1" x14ac:dyDescent="0.3">
      <c r="A852" s="91"/>
      <c r="B852" s="91"/>
      <c r="C852" s="80"/>
      <c r="D852" s="91"/>
      <c r="E852" s="80"/>
      <c r="F852" s="6"/>
      <c r="G852" s="6"/>
      <c r="H852" s="25"/>
      <c r="I852" s="133"/>
      <c r="J852" s="6"/>
      <c r="K852" s="6"/>
      <c r="L852" s="6"/>
      <c r="M852" s="6"/>
      <c r="N852" s="84"/>
      <c r="O852" s="80" t="str">
        <f>IF(N852="","",VLOOKUP(N852,ROLES!B:C,2,FALSE))</f>
        <v/>
      </c>
      <c r="P852" s="6"/>
      <c r="Q852" s="6"/>
      <c r="R852" s="16">
        <f t="shared" si="28"/>
        <v>0</v>
      </c>
      <c r="S852" s="16"/>
      <c r="T852" s="80" t="str">
        <f>IF(S852="","",VLOOKUP(S852,VALORACION!F:G,2,FALSE))</f>
        <v/>
      </c>
      <c r="U852" s="11"/>
      <c r="V852" s="80" t="str">
        <f>IF(U852="","",VLOOKUP(U852,ROLES!G:H,2,FALSE))</f>
        <v/>
      </c>
      <c r="W852" s="6"/>
      <c r="X852" s="6"/>
      <c r="Y852" s="95" t="e">
        <f t="shared" si="27"/>
        <v>#VALUE!</v>
      </c>
      <c r="Z852" s="6"/>
      <c r="AA852" s="6"/>
    </row>
    <row r="853" spans="1:27" ht="28.95" customHeight="1" x14ac:dyDescent="0.3">
      <c r="A853" s="91"/>
      <c r="B853" s="91"/>
      <c r="C853" s="80"/>
      <c r="D853" s="91"/>
      <c r="E853" s="80"/>
      <c r="F853" s="6"/>
      <c r="G853" s="6"/>
      <c r="H853" s="25"/>
      <c r="I853" s="133"/>
      <c r="J853" s="6"/>
      <c r="K853" s="6"/>
      <c r="L853" s="6"/>
      <c r="M853" s="6"/>
      <c r="N853" s="84"/>
      <c r="O853" s="80" t="str">
        <f>IF(N853="","",VLOOKUP(N853,ROLES!B:C,2,FALSE))</f>
        <v/>
      </c>
      <c r="P853" s="6"/>
      <c r="Q853" s="6"/>
      <c r="R853" s="16">
        <f t="shared" si="28"/>
        <v>0</v>
      </c>
      <c r="S853" s="16"/>
      <c r="T853" s="80" t="str">
        <f>IF(S853="","",VLOOKUP(S853,VALORACION!F:G,2,FALSE))</f>
        <v/>
      </c>
      <c r="U853" s="11"/>
      <c r="V853" s="80" t="str">
        <f>IF(U853="","",VLOOKUP(U853,ROLES!G:H,2,FALSE))</f>
        <v/>
      </c>
      <c r="W853" s="6"/>
      <c r="X853" s="6"/>
      <c r="Y853" s="95" t="e">
        <f t="shared" si="27"/>
        <v>#VALUE!</v>
      </c>
      <c r="Z853" s="6"/>
      <c r="AA853" s="6"/>
    </row>
    <row r="854" spans="1:27" ht="28.95" customHeight="1" x14ac:dyDescent="0.3">
      <c r="A854" s="91"/>
      <c r="B854" s="91"/>
      <c r="C854" s="80"/>
      <c r="D854" s="91"/>
      <c r="E854" s="80"/>
      <c r="F854" s="6"/>
      <c r="G854" s="6"/>
      <c r="H854" s="25"/>
      <c r="I854" s="133"/>
      <c r="J854" s="6"/>
      <c r="K854" s="6"/>
      <c r="L854" s="6"/>
      <c r="M854" s="6"/>
      <c r="N854" s="84"/>
      <c r="O854" s="80" t="str">
        <f>IF(N854="","",VLOOKUP(N854,ROLES!B:C,2,FALSE))</f>
        <v/>
      </c>
      <c r="P854" s="6"/>
      <c r="Q854" s="6"/>
      <c r="R854" s="16">
        <f t="shared" si="28"/>
        <v>0</v>
      </c>
      <c r="S854" s="16"/>
      <c r="T854" s="80" t="str">
        <f>IF(S854="","",VLOOKUP(S854,VALORACION!F:G,2,FALSE))</f>
        <v/>
      </c>
      <c r="U854" s="11"/>
      <c r="V854" s="80" t="str">
        <f>IF(U854="","",VLOOKUP(U854,ROLES!G:H,2,FALSE))</f>
        <v/>
      </c>
      <c r="W854" s="6"/>
      <c r="X854" s="6"/>
      <c r="Y854" s="95" t="e">
        <f t="shared" si="27"/>
        <v>#VALUE!</v>
      </c>
      <c r="Z854" s="6"/>
      <c r="AA854" s="6"/>
    </row>
    <row r="855" spans="1:27" ht="28.95" customHeight="1" x14ac:dyDescent="0.3">
      <c r="A855" s="91"/>
      <c r="B855" s="91"/>
      <c r="C855" s="80"/>
      <c r="D855" s="91"/>
      <c r="E855" s="80"/>
      <c r="F855" s="6"/>
      <c r="G855" s="6"/>
      <c r="H855" s="25"/>
      <c r="I855" s="133"/>
      <c r="J855" s="6"/>
      <c r="K855" s="6"/>
      <c r="L855" s="6"/>
      <c r="M855" s="6"/>
      <c r="N855" s="84"/>
      <c r="O855" s="80" t="str">
        <f>IF(N855="","",VLOOKUP(N855,ROLES!B:C,2,FALSE))</f>
        <v/>
      </c>
      <c r="P855" s="6"/>
      <c r="Q855" s="6"/>
      <c r="R855" s="16">
        <f t="shared" si="28"/>
        <v>0</v>
      </c>
      <c r="S855" s="16"/>
      <c r="T855" s="80" t="str">
        <f>IF(S855="","",VLOOKUP(S855,VALORACION!F:G,2,FALSE))</f>
        <v/>
      </c>
      <c r="U855" s="11"/>
      <c r="V855" s="80" t="str">
        <f>IF(U855="","",VLOOKUP(U855,ROLES!G:H,2,FALSE))</f>
        <v/>
      </c>
      <c r="W855" s="6"/>
      <c r="X855" s="6"/>
      <c r="Y855" s="95" t="e">
        <f t="shared" si="27"/>
        <v>#VALUE!</v>
      </c>
      <c r="Z855" s="6"/>
      <c r="AA855" s="6"/>
    </row>
    <row r="856" spans="1:27" ht="28.95" customHeight="1" x14ac:dyDescent="0.3">
      <c r="A856" s="91"/>
      <c r="B856" s="91"/>
      <c r="C856" s="80"/>
      <c r="D856" s="91"/>
      <c r="E856" s="80"/>
      <c r="F856" s="6"/>
      <c r="G856" s="6"/>
      <c r="H856" s="25"/>
      <c r="I856" s="133"/>
      <c r="J856" s="6"/>
      <c r="K856" s="6"/>
      <c r="L856" s="6"/>
      <c r="M856" s="6"/>
      <c r="N856" s="84"/>
      <c r="O856" s="80" t="str">
        <f>IF(N856="","",VLOOKUP(N856,ROLES!B:C,2,FALSE))</f>
        <v/>
      </c>
      <c r="P856" s="6"/>
      <c r="Q856" s="6"/>
      <c r="R856" s="16">
        <f t="shared" si="28"/>
        <v>0</v>
      </c>
      <c r="S856" s="16"/>
      <c r="T856" s="80" t="str">
        <f>IF(S856="","",VLOOKUP(S856,VALORACION!F:G,2,FALSE))</f>
        <v/>
      </c>
      <c r="U856" s="11"/>
      <c r="V856" s="80" t="str">
        <f>IF(U856="","",VLOOKUP(U856,ROLES!G:H,2,FALSE))</f>
        <v/>
      </c>
      <c r="W856" s="6"/>
      <c r="X856" s="6"/>
      <c r="Y856" s="95" t="e">
        <f t="shared" si="27"/>
        <v>#VALUE!</v>
      </c>
      <c r="Z856" s="6"/>
      <c r="AA856" s="6"/>
    </row>
    <row r="857" spans="1:27" ht="28.95" customHeight="1" x14ac:dyDescent="0.3">
      <c r="A857" s="91"/>
      <c r="B857" s="91"/>
      <c r="C857" s="80"/>
      <c r="D857" s="91"/>
      <c r="E857" s="80"/>
      <c r="F857" s="6"/>
      <c r="G857" s="6"/>
      <c r="H857" s="25"/>
      <c r="I857" s="133"/>
      <c r="J857" s="6"/>
      <c r="K857" s="6"/>
      <c r="L857" s="6"/>
      <c r="M857" s="6"/>
      <c r="N857" s="84"/>
      <c r="O857" s="80" t="str">
        <f>IF(N857="","",VLOOKUP(N857,ROLES!B:C,2,FALSE))</f>
        <v/>
      </c>
      <c r="P857" s="6"/>
      <c r="Q857" s="6"/>
      <c r="R857" s="16">
        <f t="shared" si="28"/>
        <v>0</v>
      </c>
      <c r="S857" s="16"/>
      <c r="T857" s="80" t="str">
        <f>IF(S857="","",VLOOKUP(S857,VALORACION!F:G,2,FALSE))</f>
        <v/>
      </c>
      <c r="U857" s="11"/>
      <c r="V857" s="80" t="str">
        <f>IF(U857="","",VLOOKUP(U857,ROLES!G:H,2,FALSE))</f>
        <v/>
      </c>
      <c r="W857" s="6"/>
      <c r="X857" s="6"/>
      <c r="Y857" s="95" t="e">
        <f t="shared" si="27"/>
        <v>#VALUE!</v>
      </c>
      <c r="Z857" s="6"/>
      <c r="AA857" s="6"/>
    </row>
    <row r="858" spans="1:27" ht="28.95" customHeight="1" x14ac:dyDescent="0.3">
      <c r="A858" s="91"/>
      <c r="B858" s="91"/>
      <c r="C858" s="80"/>
      <c r="D858" s="91"/>
      <c r="E858" s="80"/>
      <c r="F858" s="6"/>
      <c r="G858" s="6"/>
      <c r="H858" s="25"/>
      <c r="I858" s="133"/>
      <c r="J858" s="6"/>
      <c r="K858" s="6"/>
      <c r="L858" s="6"/>
      <c r="M858" s="6"/>
      <c r="N858" s="84"/>
      <c r="O858" s="80" t="str">
        <f>IF(N858="","",VLOOKUP(N858,ROLES!B:C,2,FALSE))</f>
        <v/>
      </c>
      <c r="P858" s="6"/>
      <c r="Q858" s="6"/>
      <c r="R858" s="16">
        <f t="shared" si="28"/>
        <v>0</v>
      </c>
      <c r="S858" s="16"/>
      <c r="T858" s="80" t="str">
        <f>IF(S858="","",VLOOKUP(S858,VALORACION!F:G,2,FALSE))</f>
        <v/>
      </c>
      <c r="U858" s="11"/>
      <c r="V858" s="80" t="str">
        <f>IF(U858="","",VLOOKUP(U858,ROLES!G:H,2,FALSE))</f>
        <v/>
      </c>
      <c r="W858" s="6"/>
      <c r="X858" s="6"/>
      <c r="Y858" s="95" t="e">
        <f t="shared" si="27"/>
        <v>#VALUE!</v>
      </c>
      <c r="Z858" s="6"/>
      <c r="AA858" s="6"/>
    </row>
    <row r="859" spans="1:27" ht="28.95" customHeight="1" x14ac:dyDescent="0.3">
      <c r="A859" s="91"/>
      <c r="B859" s="91"/>
      <c r="C859" s="80"/>
      <c r="D859" s="91"/>
      <c r="E859" s="80"/>
      <c r="F859" s="6"/>
      <c r="G859" s="6"/>
      <c r="H859" s="25"/>
      <c r="I859" s="133"/>
      <c r="J859" s="6"/>
      <c r="K859" s="6"/>
      <c r="L859" s="6"/>
      <c r="M859" s="6"/>
      <c r="N859" s="84"/>
      <c r="O859" s="80" t="str">
        <f>IF(N859="","",VLOOKUP(N859,ROLES!B:C,2,FALSE))</f>
        <v/>
      </c>
      <c r="P859" s="6"/>
      <c r="Q859" s="6"/>
      <c r="R859" s="16">
        <f t="shared" si="28"/>
        <v>0</v>
      </c>
      <c r="S859" s="16"/>
      <c r="T859" s="80" t="str">
        <f>IF(S859="","",VLOOKUP(S859,VALORACION!F:G,2,FALSE))</f>
        <v/>
      </c>
      <c r="U859" s="11"/>
      <c r="V859" s="80" t="str">
        <f>IF(U859="","",VLOOKUP(U859,ROLES!G:H,2,FALSE))</f>
        <v/>
      </c>
      <c r="W859" s="6"/>
      <c r="X859" s="6"/>
      <c r="Y859" s="95" t="e">
        <f t="shared" si="27"/>
        <v>#VALUE!</v>
      </c>
      <c r="Z859" s="6"/>
      <c r="AA859" s="6"/>
    </row>
    <row r="860" spans="1:27" ht="28.95" customHeight="1" x14ac:dyDescent="0.3">
      <c r="A860" s="91"/>
      <c r="B860" s="91"/>
      <c r="C860" s="80"/>
      <c r="D860" s="91"/>
      <c r="E860" s="80"/>
      <c r="F860" s="6"/>
      <c r="G860" s="6"/>
      <c r="H860" s="25"/>
      <c r="I860" s="133"/>
      <c r="J860" s="6"/>
      <c r="K860" s="6"/>
      <c r="L860" s="6"/>
      <c r="M860" s="6"/>
      <c r="N860" s="84"/>
      <c r="O860" s="80" t="str">
        <f>IF(N860="","",VLOOKUP(N860,ROLES!B:C,2,FALSE))</f>
        <v/>
      </c>
      <c r="P860" s="6"/>
      <c r="Q860" s="6"/>
      <c r="R860" s="16">
        <f t="shared" si="28"/>
        <v>0</v>
      </c>
      <c r="S860" s="16"/>
      <c r="T860" s="80" t="str">
        <f>IF(S860="","",VLOOKUP(S860,VALORACION!F:G,2,FALSE))</f>
        <v/>
      </c>
      <c r="U860" s="11"/>
      <c r="V860" s="80" t="str">
        <f>IF(U860="","",VLOOKUP(U860,ROLES!G:H,2,FALSE))</f>
        <v/>
      </c>
      <c r="W860" s="6"/>
      <c r="X860" s="6"/>
      <c r="Y860" s="95" t="e">
        <f t="shared" si="27"/>
        <v>#VALUE!</v>
      </c>
      <c r="Z860" s="6"/>
      <c r="AA860" s="6"/>
    </row>
    <row r="861" spans="1:27" ht="28.95" customHeight="1" x14ac:dyDescent="0.3">
      <c r="A861" s="91"/>
      <c r="B861" s="91"/>
      <c r="C861" s="80"/>
      <c r="D861" s="91"/>
      <c r="E861" s="80"/>
      <c r="F861" s="6"/>
      <c r="G861" s="6"/>
      <c r="H861" s="25"/>
      <c r="I861" s="133"/>
      <c r="J861" s="6"/>
      <c r="K861" s="6"/>
      <c r="L861" s="6"/>
      <c r="M861" s="6"/>
      <c r="N861" s="84"/>
      <c r="O861" s="80" t="str">
        <f>IF(N861="","",VLOOKUP(N861,ROLES!B:C,2,FALSE))</f>
        <v/>
      </c>
      <c r="P861" s="6"/>
      <c r="Q861" s="6"/>
      <c r="R861" s="16">
        <f t="shared" si="28"/>
        <v>0</v>
      </c>
      <c r="S861" s="16"/>
      <c r="T861" s="80" t="str">
        <f>IF(S861="","",VLOOKUP(S861,VALORACION!F:G,2,FALSE))</f>
        <v/>
      </c>
      <c r="U861" s="11"/>
      <c r="V861" s="80" t="str">
        <f>IF(U861="","",VLOOKUP(U861,ROLES!G:H,2,FALSE))</f>
        <v/>
      </c>
      <c r="W861" s="6"/>
      <c r="X861" s="6"/>
      <c r="Y861" s="95" t="e">
        <f t="shared" si="27"/>
        <v>#VALUE!</v>
      </c>
      <c r="Z861" s="6"/>
      <c r="AA861" s="6"/>
    </row>
    <row r="862" spans="1:27" ht="28.95" customHeight="1" x14ac:dyDescent="0.3">
      <c r="A862" s="91"/>
      <c r="B862" s="91"/>
      <c r="C862" s="80"/>
      <c r="D862" s="91"/>
      <c r="E862" s="80"/>
      <c r="F862" s="6"/>
      <c r="G862" s="6"/>
      <c r="H862" s="25"/>
      <c r="I862" s="133"/>
      <c r="J862" s="6"/>
      <c r="K862" s="6"/>
      <c r="L862" s="6"/>
      <c r="M862" s="6"/>
      <c r="N862" s="84"/>
      <c r="O862" s="80" t="str">
        <f>IF(N862="","",VLOOKUP(N862,ROLES!B:C,2,FALSE))</f>
        <v/>
      </c>
      <c r="P862" s="6"/>
      <c r="Q862" s="6"/>
      <c r="R862" s="16">
        <f t="shared" si="28"/>
        <v>0</v>
      </c>
      <c r="S862" s="16"/>
      <c r="T862" s="80" t="str">
        <f>IF(S862="","",VLOOKUP(S862,VALORACION!F:G,2,FALSE))</f>
        <v/>
      </c>
      <c r="U862" s="11"/>
      <c r="V862" s="80" t="str">
        <f>IF(U862="","",VLOOKUP(U862,ROLES!G:H,2,FALSE))</f>
        <v/>
      </c>
      <c r="W862" s="6"/>
      <c r="X862" s="6"/>
      <c r="Y862" s="95" t="e">
        <f t="shared" si="27"/>
        <v>#VALUE!</v>
      </c>
      <c r="Z862" s="6"/>
      <c r="AA862" s="6"/>
    </row>
    <row r="863" spans="1:27" ht="28.95" customHeight="1" x14ac:dyDescent="0.3">
      <c r="A863" s="91"/>
      <c r="B863" s="91"/>
      <c r="C863" s="80"/>
      <c r="D863" s="91"/>
      <c r="E863" s="80"/>
      <c r="F863" s="6"/>
      <c r="G863" s="6"/>
      <c r="H863" s="25"/>
      <c r="I863" s="133"/>
      <c r="J863" s="6"/>
      <c r="K863" s="6"/>
      <c r="L863" s="6"/>
      <c r="M863" s="6"/>
      <c r="N863" s="84"/>
      <c r="O863" s="80" t="str">
        <f>IF(N863="","",VLOOKUP(N863,ROLES!B:C,2,FALSE))</f>
        <v/>
      </c>
      <c r="P863" s="6"/>
      <c r="Q863" s="6"/>
      <c r="R863" s="16">
        <f t="shared" si="28"/>
        <v>0</v>
      </c>
      <c r="S863" s="16"/>
      <c r="T863" s="80" t="str">
        <f>IF(S863="","",VLOOKUP(S863,VALORACION!F:G,2,FALSE))</f>
        <v/>
      </c>
      <c r="U863" s="11"/>
      <c r="V863" s="80" t="str">
        <f>IF(U863="","",VLOOKUP(U863,ROLES!G:H,2,FALSE))</f>
        <v/>
      </c>
      <c r="W863" s="6"/>
      <c r="X863" s="6"/>
      <c r="Y863" s="95" t="e">
        <f t="shared" si="27"/>
        <v>#VALUE!</v>
      </c>
      <c r="Z863" s="6"/>
      <c r="AA863" s="6"/>
    </row>
    <row r="864" spans="1:27" ht="28.95" customHeight="1" x14ac:dyDescent="0.3">
      <c r="A864" s="91"/>
      <c r="B864" s="91"/>
      <c r="C864" s="80"/>
      <c r="D864" s="91"/>
      <c r="E864" s="80"/>
      <c r="F864" s="6"/>
      <c r="G864" s="6"/>
      <c r="H864" s="25"/>
      <c r="I864" s="133"/>
      <c r="J864" s="6"/>
      <c r="K864" s="6"/>
      <c r="L864" s="6"/>
      <c r="M864" s="6"/>
      <c r="N864" s="84"/>
      <c r="O864" s="80" t="str">
        <f>IF(N864="","",VLOOKUP(N864,ROLES!B:C,2,FALSE))</f>
        <v/>
      </c>
      <c r="P864" s="6"/>
      <c r="Q864" s="6"/>
      <c r="R864" s="16">
        <f t="shared" si="28"/>
        <v>0</v>
      </c>
      <c r="S864" s="16"/>
      <c r="T864" s="80" t="str">
        <f>IF(S864="","",VLOOKUP(S864,VALORACION!F:G,2,FALSE))</f>
        <v/>
      </c>
      <c r="U864" s="11"/>
      <c r="V864" s="80" t="str">
        <f>IF(U864="","",VLOOKUP(U864,ROLES!G:H,2,FALSE))</f>
        <v/>
      </c>
      <c r="W864" s="6"/>
      <c r="X864" s="6"/>
      <c r="Y864" s="95" t="e">
        <f t="shared" si="27"/>
        <v>#VALUE!</v>
      </c>
      <c r="Z864" s="6"/>
      <c r="AA864" s="6"/>
    </row>
    <row r="865" spans="1:27" ht="28.95" customHeight="1" x14ac:dyDescent="0.3">
      <c r="A865" s="91"/>
      <c r="B865" s="91"/>
      <c r="C865" s="80"/>
      <c r="D865" s="91"/>
      <c r="E865" s="80"/>
      <c r="F865" s="6"/>
      <c r="G865" s="6"/>
      <c r="H865" s="25"/>
      <c r="I865" s="133"/>
      <c r="J865" s="6"/>
      <c r="K865" s="6"/>
      <c r="L865" s="6"/>
      <c r="M865" s="6"/>
      <c r="N865" s="84"/>
      <c r="O865" s="80" t="str">
        <f>IF(N865="","",VLOOKUP(N865,ROLES!B:C,2,FALSE))</f>
        <v/>
      </c>
      <c r="P865" s="6"/>
      <c r="Q865" s="6"/>
      <c r="R865" s="16">
        <f t="shared" si="28"/>
        <v>0</v>
      </c>
      <c r="S865" s="16"/>
      <c r="T865" s="80" t="str">
        <f>IF(S865="","",VLOOKUP(S865,VALORACION!F:G,2,FALSE))</f>
        <v/>
      </c>
      <c r="U865" s="11"/>
      <c r="V865" s="80" t="str">
        <f>IF(U865="","",VLOOKUP(U865,ROLES!G:H,2,FALSE))</f>
        <v/>
      </c>
      <c r="W865" s="6"/>
      <c r="X865" s="6"/>
      <c r="Y865" s="95" t="e">
        <f t="shared" si="27"/>
        <v>#VALUE!</v>
      </c>
      <c r="Z865" s="6"/>
      <c r="AA865" s="6"/>
    </row>
    <row r="866" spans="1:27" ht="28.95" customHeight="1" x14ac:dyDescent="0.3">
      <c r="A866" s="91"/>
      <c r="B866" s="91"/>
      <c r="C866" s="80"/>
      <c r="D866" s="91"/>
      <c r="E866" s="80"/>
      <c r="F866" s="6"/>
      <c r="G866" s="6"/>
      <c r="H866" s="25"/>
      <c r="I866" s="133"/>
      <c r="J866" s="6"/>
      <c r="K866" s="6"/>
      <c r="L866" s="6"/>
      <c r="M866" s="6"/>
      <c r="N866" s="84"/>
      <c r="O866" s="80" t="str">
        <f>IF(N866="","",VLOOKUP(N866,ROLES!B:C,2,FALSE))</f>
        <v/>
      </c>
      <c r="P866" s="6"/>
      <c r="Q866" s="6"/>
      <c r="R866" s="16">
        <f t="shared" si="28"/>
        <v>0</v>
      </c>
      <c r="S866" s="16"/>
      <c r="T866" s="80" t="str">
        <f>IF(S866="","",VLOOKUP(S866,VALORACION!F:G,2,FALSE))</f>
        <v/>
      </c>
      <c r="U866" s="11"/>
      <c r="V866" s="80" t="str">
        <f>IF(U866="","",VLOOKUP(U866,ROLES!G:H,2,FALSE))</f>
        <v/>
      </c>
      <c r="W866" s="6"/>
      <c r="X866" s="6"/>
      <c r="Y866" s="95" t="e">
        <f t="shared" si="27"/>
        <v>#VALUE!</v>
      </c>
      <c r="Z866" s="6"/>
      <c r="AA866" s="6"/>
    </row>
    <row r="867" spans="1:27" ht="28.95" customHeight="1" x14ac:dyDescent="0.3">
      <c r="A867" s="91"/>
      <c r="B867" s="91"/>
      <c r="C867" s="80"/>
      <c r="D867" s="91"/>
      <c r="E867" s="80"/>
      <c r="F867" s="6"/>
      <c r="G867" s="6"/>
      <c r="H867" s="25"/>
      <c r="I867" s="133"/>
      <c r="J867" s="6"/>
      <c r="K867" s="6"/>
      <c r="L867" s="6"/>
      <c r="M867" s="6"/>
      <c r="N867" s="84"/>
      <c r="O867" s="80" t="str">
        <f>IF(N867="","",VLOOKUP(N867,ROLES!B:C,2,FALSE))</f>
        <v/>
      </c>
      <c r="P867" s="6"/>
      <c r="Q867" s="6"/>
      <c r="R867" s="16">
        <f t="shared" si="28"/>
        <v>0</v>
      </c>
      <c r="S867" s="16"/>
      <c r="T867" s="80" t="str">
        <f>IF(S867="","",VLOOKUP(S867,VALORACION!F:G,2,FALSE))</f>
        <v/>
      </c>
      <c r="U867" s="11"/>
      <c r="V867" s="80" t="str">
        <f>IF(U867="","",VLOOKUP(U867,ROLES!G:H,2,FALSE))</f>
        <v/>
      </c>
      <c r="W867" s="6"/>
      <c r="X867" s="6"/>
      <c r="Y867" s="95" t="e">
        <f t="shared" si="27"/>
        <v>#VALUE!</v>
      </c>
      <c r="Z867" s="6"/>
      <c r="AA867" s="6"/>
    </row>
    <row r="868" spans="1:27" ht="28.95" customHeight="1" x14ac:dyDescent="0.3">
      <c r="A868" s="91"/>
      <c r="B868" s="91"/>
      <c r="C868" s="80"/>
      <c r="D868" s="91"/>
      <c r="E868" s="80"/>
      <c r="F868" s="6"/>
      <c r="G868" s="6"/>
      <c r="H868" s="25"/>
      <c r="I868" s="133"/>
      <c r="J868" s="6"/>
      <c r="K868" s="6"/>
      <c r="L868" s="6"/>
      <c r="M868" s="6"/>
      <c r="N868" s="84"/>
      <c r="O868" s="80" t="str">
        <f>IF(N868="","",VLOOKUP(N868,ROLES!B:C,2,FALSE))</f>
        <v/>
      </c>
      <c r="P868" s="6"/>
      <c r="Q868" s="6"/>
      <c r="R868" s="16">
        <f t="shared" si="28"/>
        <v>0</v>
      </c>
      <c r="S868" s="16"/>
      <c r="T868" s="80" t="str">
        <f>IF(S868="","",VLOOKUP(S868,VALORACION!F:G,2,FALSE))</f>
        <v/>
      </c>
      <c r="U868" s="11"/>
      <c r="V868" s="80" t="str">
        <f>IF(U868="","",VLOOKUP(U868,ROLES!G:H,2,FALSE))</f>
        <v/>
      </c>
      <c r="W868" s="6"/>
      <c r="X868" s="6"/>
      <c r="Y868" s="95" t="e">
        <f t="shared" si="27"/>
        <v>#VALUE!</v>
      </c>
      <c r="Z868" s="6"/>
      <c r="AA868" s="6"/>
    </row>
    <row r="869" spans="1:27" ht="28.95" customHeight="1" x14ac:dyDescent="0.3">
      <c r="A869" s="91"/>
      <c r="B869" s="91"/>
      <c r="C869" s="80"/>
      <c r="D869" s="91"/>
      <c r="E869" s="80"/>
      <c r="F869" s="6"/>
      <c r="G869" s="6"/>
      <c r="H869" s="25"/>
      <c r="I869" s="133"/>
      <c r="J869" s="6"/>
      <c r="K869" s="6"/>
      <c r="L869" s="6"/>
      <c r="M869" s="6"/>
      <c r="N869" s="84"/>
      <c r="O869" s="80" t="str">
        <f>IF(N869="","",VLOOKUP(N869,ROLES!B:C,2,FALSE))</f>
        <v/>
      </c>
      <c r="P869" s="6"/>
      <c r="Q869" s="6"/>
      <c r="R869" s="16">
        <f t="shared" si="28"/>
        <v>0</v>
      </c>
      <c r="S869" s="16"/>
      <c r="T869" s="80" t="str">
        <f>IF(S869="","",VLOOKUP(S869,VALORACION!F:G,2,FALSE))</f>
        <v/>
      </c>
      <c r="U869" s="11"/>
      <c r="V869" s="80" t="str">
        <f>IF(U869="","",VLOOKUP(U869,ROLES!G:H,2,FALSE))</f>
        <v/>
      </c>
      <c r="W869" s="6"/>
      <c r="X869" s="6"/>
      <c r="Y869" s="95" t="e">
        <f t="shared" si="27"/>
        <v>#VALUE!</v>
      </c>
      <c r="Z869" s="6"/>
      <c r="AA869" s="6"/>
    </row>
    <row r="870" spans="1:27" ht="28.95" customHeight="1" x14ac:dyDescent="0.3">
      <c r="A870" s="91"/>
      <c r="B870" s="91"/>
      <c r="C870" s="80"/>
      <c r="D870" s="91"/>
      <c r="E870" s="80"/>
      <c r="F870" s="6"/>
      <c r="G870" s="6"/>
      <c r="H870" s="25"/>
      <c r="I870" s="133"/>
      <c r="J870" s="6"/>
      <c r="K870" s="6"/>
      <c r="L870" s="6"/>
      <c r="M870" s="6"/>
      <c r="N870" s="84"/>
      <c r="O870" s="80" t="str">
        <f>IF(N870="","",VLOOKUP(N870,ROLES!B:C,2,FALSE))</f>
        <v/>
      </c>
      <c r="P870" s="6"/>
      <c r="Q870" s="6"/>
      <c r="R870" s="16">
        <f t="shared" si="28"/>
        <v>0</v>
      </c>
      <c r="S870" s="16"/>
      <c r="T870" s="80" t="str">
        <f>IF(S870="","",VLOOKUP(S870,VALORACION!F:G,2,FALSE))</f>
        <v/>
      </c>
      <c r="U870" s="11"/>
      <c r="V870" s="80" t="str">
        <f>IF(U870="","",VLOOKUP(U870,ROLES!G:H,2,FALSE))</f>
        <v/>
      </c>
      <c r="W870" s="6"/>
      <c r="X870" s="6"/>
      <c r="Y870" s="95" t="e">
        <f t="shared" si="27"/>
        <v>#VALUE!</v>
      </c>
      <c r="Z870" s="6"/>
      <c r="AA870" s="6"/>
    </row>
    <row r="871" spans="1:27" ht="28.95" customHeight="1" x14ac:dyDescent="0.3">
      <c r="A871" s="91"/>
      <c r="B871" s="91"/>
      <c r="C871" s="80"/>
      <c r="D871" s="91"/>
      <c r="E871" s="80"/>
      <c r="F871" s="6"/>
      <c r="G871" s="6"/>
      <c r="H871" s="25"/>
      <c r="I871" s="133"/>
      <c r="J871" s="6"/>
      <c r="K871" s="6"/>
      <c r="L871" s="6"/>
      <c r="M871" s="6"/>
      <c r="N871" s="84"/>
      <c r="O871" s="80" t="str">
        <f>IF(N871="","",VLOOKUP(N871,ROLES!B:C,2,FALSE))</f>
        <v/>
      </c>
      <c r="P871" s="6"/>
      <c r="Q871" s="6"/>
      <c r="R871" s="16">
        <f t="shared" si="28"/>
        <v>0</v>
      </c>
      <c r="S871" s="16"/>
      <c r="T871" s="80" t="str">
        <f>IF(S871="","",VLOOKUP(S871,VALORACION!F:G,2,FALSE))</f>
        <v/>
      </c>
      <c r="U871" s="11"/>
      <c r="V871" s="80" t="str">
        <f>IF(U871="","",VLOOKUP(U871,ROLES!G:H,2,FALSE))</f>
        <v/>
      </c>
      <c r="W871" s="6"/>
      <c r="X871" s="6"/>
      <c r="Y871" s="95" t="e">
        <f t="shared" si="27"/>
        <v>#VALUE!</v>
      </c>
      <c r="Z871" s="6"/>
      <c r="AA871" s="6"/>
    </row>
    <row r="872" spans="1:27" ht="28.95" customHeight="1" x14ac:dyDescent="0.3">
      <c r="A872" s="91"/>
      <c r="B872" s="91"/>
      <c r="C872" s="80"/>
      <c r="D872" s="91"/>
      <c r="E872" s="80"/>
      <c r="F872" s="6"/>
      <c r="G872" s="6"/>
      <c r="H872" s="25"/>
      <c r="I872" s="133"/>
      <c r="J872" s="6"/>
      <c r="K872" s="6"/>
      <c r="L872" s="6"/>
      <c r="M872" s="6"/>
      <c r="N872" s="84"/>
      <c r="O872" s="80" t="str">
        <f>IF(N872="","",VLOOKUP(N872,ROLES!B:C,2,FALSE))</f>
        <v/>
      </c>
      <c r="P872" s="6"/>
      <c r="Q872" s="6"/>
      <c r="R872" s="16">
        <f t="shared" si="28"/>
        <v>0</v>
      </c>
      <c r="S872" s="16"/>
      <c r="T872" s="80" t="str">
        <f>IF(S872="","",VLOOKUP(S872,VALORACION!F:G,2,FALSE))</f>
        <v/>
      </c>
      <c r="U872" s="11"/>
      <c r="V872" s="80" t="str">
        <f>IF(U872="","",VLOOKUP(U872,ROLES!G:H,2,FALSE))</f>
        <v/>
      </c>
      <c r="W872" s="6"/>
      <c r="X872" s="6"/>
      <c r="Y872" s="95" t="e">
        <f t="shared" si="27"/>
        <v>#VALUE!</v>
      </c>
      <c r="Z872" s="6"/>
      <c r="AA872" s="6"/>
    </row>
    <row r="873" spans="1:27" ht="28.95" customHeight="1" x14ac:dyDescent="0.3">
      <c r="A873" s="91"/>
      <c r="B873" s="91"/>
      <c r="C873" s="80"/>
      <c r="D873" s="91"/>
      <c r="E873" s="80"/>
      <c r="F873" s="6"/>
      <c r="G873" s="6"/>
      <c r="H873" s="25"/>
      <c r="I873" s="133"/>
      <c r="J873" s="6"/>
      <c r="K873" s="6"/>
      <c r="L873" s="6"/>
      <c r="M873" s="6"/>
      <c r="N873" s="84"/>
      <c r="O873" s="80" t="str">
        <f>IF(N873="","",VLOOKUP(N873,ROLES!B:C,2,FALSE))</f>
        <v/>
      </c>
      <c r="P873" s="6"/>
      <c r="Q873" s="6"/>
      <c r="R873" s="16">
        <f t="shared" si="28"/>
        <v>0</v>
      </c>
      <c r="S873" s="16"/>
      <c r="T873" s="80" t="str">
        <f>IF(S873="","",VLOOKUP(S873,VALORACION!F:G,2,FALSE))</f>
        <v/>
      </c>
      <c r="U873" s="11"/>
      <c r="V873" s="80" t="str">
        <f>IF(U873="","",VLOOKUP(U873,ROLES!G:H,2,FALSE))</f>
        <v/>
      </c>
      <c r="W873" s="6"/>
      <c r="X873" s="6"/>
      <c r="Y873" s="95" t="e">
        <f t="shared" si="27"/>
        <v>#VALUE!</v>
      </c>
      <c r="Z873" s="6"/>
      <c r="AA873" s="6"/>
    </row>
    <row r="874" spans="1:27" ht="28.95" customHeight="1" x14ac:dyDescent="0.3">
      <c r="A874" s="91"/>
      <c r="B874" s="91"/>
      <c r="C874" s="80"/>
      <c r="D874" s="91"/>
      <c r="E874" s="80"/>
      <c r="F874" s="6"/>
      <c r="G874" s="6"/>
      <c r="H874" s="25"/>
      <c r="I874" s="133"/>
      <c r="J874" s="6"/>
      <c r="K874" s="6"/>
      <c r="L874" s="6"/>
      <c r="M874" s="6"/>
      <c r="N874" s="84"/>
      <c r="O874" s="80" t="str">
        <f>IF(N874="","",VLOOKUP(N874,ROLES!B:C,2,FALSE))</f>
        <v/>
      </c>
      <c r="P874" s="6"/>
      <c r="Q874" s="6"/>
      <c r="R874" s="16">
        <f t="shared" si="28"/>
        <v>0</v>
      </c>
      <c r="S874" s="16"/>
      <c r="T874" s="80" t="str">
        <f>IF(S874="","",VLOOKUP(S874,VALORACION!F:G,2,FALSE))</f>
        <v/>
      </c>
      <c r="U874" s="11"/>
      <c r="V874" s="80" t="str">
        <f>IF(U874="","",VLOOKUP(U874,ROLES!G:H,2,FALSE))</f>
        <v/>
      </c>
      <c r="W874" s="6"/>
      <c r="X874" s="6"/>
      <c r="Y874" s="95" t="e">
        <f t="shared" si="27"/>
        <v>#VALUE!</v>
      </c>
      <c r="Z874" s="6"/>
      <c r="AA874" s="6"/>
    </row>
    <row r="875" spans="1:27" ht="28.95" customHeight="1" x14ac:dyDescent="0.3">
      <c r="A875" s="91"/>
      <c r="B875" s="91"/>
      <c r="C875" s="80"/>
      <c r="D875" s="91"/>
      <c r="E875" s="80"/>
      <c r="F875" s="6"/>
      <c r="G875" s="6"/>
      <c r="H875" s="25"/>
      <c r="I875" s="133"/>
      <c r="J875" s="6"/>
      <c r="K875" s="6"/>
      <c r="L875" s="6"/>
      <c r="M875" s="6"/>
      <c r="N875" s="84"/>
      <c r="O875" s="80" t="str">
        <f>IF(N875="","",VLOOKUP(N875,ROLES!B:C,2,FALSE))</f>
        <v/>
      </c>
      <c r="P875" s="6"/>
      <c r="Q875" s="6"/>
      <c r="R875" s="16">
        <f t="shared" si="28"/>
        <v>0</v>
      </c>
      <c r="S875" s="16"/>
      <c r="T875" s="80" t="str">
        <f>IF(S875="","",VLOOKUP(S875,VALORACION!F:G,2,FALSE))</f>
        <v/>
      </c>
      <c r="U875" s="11"/>
      <c r="V875" s="80" t="str">
        <f>IF(U875="","",VLOOKUP(U875,ROLES!G:H,2,FALSE))</f>
        <v/>
      </c>
      <c r="W875" s="6"/>
      <c r="X875" s="6"/>
      <c r="Y875" s="95" t="e">
        <f t="shared" si="27"/>
        <v>#VALUE!</v>
      </c>
      <c r="Z875" s="6"/>
      <c r="AA875" s="6"/>
    </row>
    <row r="876" spans="1:27" ht="28.95" customHeight="1" x14ac:dyDescent="0.3">
      <c r="A876" s="91"/>
      <c r="B876" s="91"/>
      <c r="C876" s="80"/>
      <c r="D876" s="91"/>
      <c r="E876" s="80"/>
      <c r="F876" s="6"/>
      <c r="G876" s="6"/>
      <c r="H876" s="25"/>
      <c r="I876" s="133"/>
      <c r="J876" s="6"/>
      <c r="K876" s="6"/>
      <c r="L876" s="6"/>
      <c r="M876" s="6"/>
      <c r="N876" s="84"/>
      <c r="O876" s="80" t="str">
        <f>IF(N876="","",VLOOKUP(N876,ROLES!B:C,2,FALSE))</f>
        <v/>
      </c>
      <c r="P876" s="6"/>
      <c r="Q876" s="6"/>
      <c r="R876" s="16">
        <f t="shared" si="28"/>
        <v>0</v>
      </c>
      <c r="S876" s="16"/>
      <c r="T876" s="80" t="str">
        <f>IF(S876="","",VLOOKUP(S876,VALORACION!F:G,2,FALSE))</f>
        <v/>
      </c>
      <c r="U876" s="11"/>
      <c r="V876" s="80" t="str">
        <f>IF(U876="","",VLOOKUP(U876,ROLES!G:H,2,FALSE))</f>
        <v/>
      </c>
      <c r="W876" s="6"/>
      <c r="X876" s="6"/>
      <c r="Y876" s="95" t="e">
        <f t="shared" si="27"/>
        <v>#VALUE!</v>
      </c>
      <c r="Z876" s="6"/>
      <c r="AA876" s="6"/>
    </row>
    <row r="877" spans="1:27" ht="28.95" customHeight="1" x14ac:dyDescent="0.3">
      <c r="A877" s="91"/>
      <c r="B877" s="91"/>
      <c r="C877" s="80"/>
      <c r="D877" s="91"/>
      <c r="E877" s="80"/>
      <c r="F877" s="6"/>
      <c r="G877" s="6"/>
      <c r="H877" s="25"/>
      <c r="I877" s="133"/>
      <c r="J877" s="6"/>
      <c r="K877" s="6"/>
      <c r="L877" s="6"/>
      <c r="M877" s="6"/>
      <c r="N877" s="84"/>
      <c r="O877" s="80" t="str">
        <f>IF(N877="","",VLOOKUP(N877,ROLES!B:C,2,FALSE))</f>
        <v/>
      </c>
      <c r="P877" s="6"/>
      <c r="Q877" s="6"/>
      <c r="R877" s="16">
        <f t="shared" si="28"/>
        <v>0</v>
      </c>
      <c r="S877" s="16"/>
      <c r="T877" s="80" t="str">
        <f>IF(S877="","",VLOOKUP(S877,VALORACION!F:G,2,FALSE))</f>
        <v/>
      </c>
      <c r="U877" s="11"/>
      <c r="V877" s="80" t="str">
        <f>IF(U877="","",VLOOKUP(U877,ROLES!G:H,2,FALSE))</f>
        <v/>
      </c>
      <c r="W877" s="6"/>
      <c r="X877" s="6"/>
      <c r="Y877" s="95" t="e">
        <f t="shared" si="27"/>
        <v>#VALUE!</v>
      </c>
      <c r="Z877" s="6"/>
      <c r="AA877" s="6"/>
    </row>
    <row r="878" spans="1:27" ht="28.95" customHeight="1" x14ac:dyDescent="0.3">
      <c r="A878" s="91"/>
      <c r="B878" s="91"/>
      <c r="C878" s="80"/>
      <c r="D878" s="91"/>
      <c r="E878" s="80"/>
      <c r="F878" s="6"/>
      <c r="G878" s="6"/>
      <c r="H878" s="25"/>
      <c r="I878" s="133"/>
      <c r="J878" s="6"/>
      <c r="K878" s="6"/>
      <c r="L878" s="6"/>
      <c r="M878" s="6"/>
      <c r="N878" s="84"/>
      <c r="O878" s="80" t="str">
        <f>IF(N878="","",VLOOKUP(N878,ROLES!B:C,2,FALSE))</f>
        <v/>
      </c>
      <c r="P878" s="6"/>
      <c r="Q878" s="6"/>
      <c r="R878" s="16">
        <f t="shared" si="28"/>
        <v>0</v>
      </c>
      <c r="S878" s="16"/>
      <c r="T878" s="80" t="str">
        <f>IF(S878="","",VLOOKUP(S878,VALORACION!F:G,2,FALSE))</f>
        <v/>
      </c>
      <c r="U878" s="11"/>
      <c r="V878" s="80" t="str">
        <f>IF(U878="","",VLOOKUP(U878,ROLES!G:H,2,FALSE))</f>
        <v/>
      </c>
      <c r="W878" s="6"/>
      <c r="X878" s="6"/>
      <c r="Y878" s="95" t="e">
        <f t="shared" si="27"/>
        <v>#VALUE!</v>
      </c>
      <c r="Z878" s="6"/>
      <c r="AA878" s="6"/>
    </row>
    <row r="879" spans="1:27" ht="28.95" customHeight="1" x14ac:dyDescent="0.3">
      <c r="A879" s="91"/>
      <c r="B879" s="91"/>
      <c r="C879" s="80"/>
      <c r="D879" s="91"/>
      <c r="E879" s="80"/>
      <c r="F879" s="6"/>
      <c r="G879" s="6"/>
      <c r="H879" s="25"/>
      <c r="I879" s="133"/>
      <c r="J879" s="6"/>
      <c r="K879" s="6"/>
      <c r="L879" s="6"/>
      <c r="M879" s="6"/>
      <c r="N879" s="84"/>
      <c r="O879" s="80" t="str">
        <f>IF(N879="","",VLOOKUP(N879,ROLES!B:C,2,FALSE))</f>
        <v/>
      </c>
      <c r="P879" s="6"/>
      <c r="Q879" s="6"/>
      <c r="R879" s="16">
        <f t="shared" si="28"/>
        <v>0</v>
      </c>
      <c r="S879" s="16"/>
      <c r="T879" s="80" t="str">
        <f>IF(S879="","",VLOOKUP(S879,VALORACION!F:G,2,FALSE))</f>
        <v/>
      </c>
      <c r="U879" s="11"/>
      <c r="V879" s="80" t="str">
        <f>IF(U879="","",VLOOKUP(U879,ROLES!G:H,2,FALSE))</f>
        <v/>
      </c>
      <c r="W879" s="6"/>
      <c r="X879" s="6"/>
      <c r="Y879" s="95" t="e">
        <f t="shared" si="27"/>
        <v>#VALUE!</v>
      </c>
      <c r="Z879" s="6"/>
      <c r="AA879" s="6"/>
    </row>
    <row r="880" spans="1:27" ht="28.95" customHeight="1" x14ac:dyDescent="0.3">
      <c r="A880" s="91"/>
      <c r="B880" s="91"/>
      <c r="C880" s="80"/>
      <c r="D880" s="91"/>
      <c r="E880" s="80"/>
      <c r="F880" s="6"/>
      <c r="G880" s="6"/>
      <c r="H880" s="25"/>
      <c r="I880" s="133"/>
      <c r="J880" s="6"/>
      <c r="K880" s="6"/>
      <c r="L880" s="6"/>
      <c r="M880" s="6"/>
      <c r="N880" s="84"/>
      <c r="O880" s="80" t="str">
        <f>IF(N880="","",VLOOKUP(N880,ROLES!B:C,2,FALSE))</f>
        <v/>
      </c>
      <c r="P880" s="6"/>
      <c r="Q880" s="6"/>
      <c r="R880" s="16">
        <f t="shared" si="28"/>
        <v>0</v>
      </c>
      <c r="S880" s="16"/>
      <c r="T880" s="80" t="str">
        <f>IF(S880="","",VLOOKUP(S880,VALORACION!F:G,2,FALSE))</f>
        <v/>
      </c>
      <c r="U880" s="11"/>
      <c r="V880" s="80" t="str">
        <f>IF(U880="","",VLOOKUP(U880,ROLES!G:H,2,FALSE))</f>
        <v/>
      </c>
      <c r="W880" s="6"/>
      <c r="X880" s="6"/>
      <c r="Y880" s="95" t="e">
        <f t="shared" si="27"/>
        <v>#VALUE!</v>
      </c>
      <c r="Z880" s="6"/>
      <c r="AA880" s="6"/>
    </row>
    <row r="881" spans="1:27" ht="28.95" customHeight="1" x14ac:dyDescent="0.3">
      <c r="A881" s="91"/>
      <c r="B881" s="91"/>
      <c r="C881" s="80"/>
      <c r="D881" s="91"/>
      <c r="E881" s="80"/>
      <c r="F881" s="6"/>
      <c r="G881" s="6"/>
      <c r="H881" s="25"/>
      <c r="I881" s="133"/>
      <c r="J881" s="6"/>
      <c r="K881" s="6"/>
      <c r="L881" s="6"/>
      <c r="M881" s="6"/>
      <c r="N881" s="84"/>
      <c r="O881" s="80" t="str">
        <f>IF(N881="","",VLOOKUP(N881,ROLES!B:C,2,FALSE))</f>
        <v/>
      </c>
      <c r="P881" s="6"/>
      <c r="Q881" s="6"/>
      <c r="R881" s="16">
        <f t="shared" si="28"/>
        <v>0</v>
      </c>
      <c r="S881" s="16"/>
      <c r="T881" s="80" t="str">
        <f>IF(S881="","",VLOOKUP(S881,VALORACION!F:G,2,FALSE))</f>
        <v/>
      </c>
      <c r="U881" s="11"/>
      <c r="V881" s="80" t="str">
        <f>IF(U881="","",VLOOKUP(U881,ROLES!G:H,2,FALSE))</f>
        <v/>
      </c>
      <c r="W881" s="6"/>
      <c r="X881" s="6"/>
      <c r="Y881" s="95" t="e">
        <f t="shared" si="27"/>
        <v>#VALUE!</v>
      </c>
      <c r="Z881" s="6"/>
      <c r="AA881" s="6"/>
    </row>
    <row r="882" spans="1:27" ht="28.95" customHeight="1" x14ac:dyDescent="0.3">
      <c r="A882" s="91"/>
      <c r="B882" s="91"/>
      <c r="C882" s="80"/>
      <c r="D882" s="91"/>
      <c r="E882" s="80"/>
      <c r="F882" s="6"/>
      <c r="G882" s="6"/>
      <c r="H882" s="25"/>
      <c r="I882" s="133"/>
      <c r="J882" s="6"/>
      <c r="K882" s="6"/>
      <c r="L882" s="6"/>
      <c r="M882" s="6"/>
      <c r="N882" s="84"/>
      <c r="O882" s="80" t="str">
        <f>IF(N882="","",VLOOKUP(N882,ROLES!B:C,2,FALSE))</f>
        <v/>
      </c>
      <c r="P882" s="6"/>
      <c r="Q882" s="6"/>
      <c r="R882" s="16">
        <f t="shared" si="28"/>
        <v>0</v>
      </c>
      <c r="S882" s="16"/>
      <c r="T882" s="80" t="str">
        <f>IF(S882="","",VLOOKUP(S882,VALORACION!F:G,2,FALSE))</f>
        <v/>
      </c>
      <c r="U882" s="11"/>
      <c r="V882" s="80" t="str">
        <f>IF(U882="","",VLOOKUP(U882,ROLES!G:H,2,FALSE))</f>
        <v/>
      </c>
      <c r="W882" s="6"/>
      <c r="X882" s="6"/>
      <c r="Y882" s="95" t="e">
        <f t="shared" si="27"/>
        <v>#VALUE!</v>
      </c>
      <c r="Z882" s="6"/>
      <c r="AA882" s="6"/>
    </row>
    <row r="883" spans="1:27" ht="28.95" customHeight="1" x14ac:dyDescent="0.3">
      <c r="A883" s="91"/>
      <c r="B883" s="91"/>
      <c r="C883" s="80"/>
      <c r="D883" s="91"/>
      <c r="E883" s="80"/>
      <c r="F883" s="6"/>
      <c r="G883" s="6"/>
      <c r="H883" s="25"/>
      <c r="I883" s="133"/>
      <c r="J883" s="6"/>
      <c r="K883" s="6"/>
      <c r="L883" s="6"/>
      <c r="M883" s="6"/>
      <c r="N883" s="84"/>
      <c r="O883" s="80" t="str">
        <f>IF(N883="","",VLOOKUP(N883,ROLES!B:C,2,FALSE))</f>
        <v/>
      </c>
      <c r="P883" s="6"/>
      <c r="Q883" s="6"/>
      <c r="R883" s="16">
        <f t="shared" si="28"/>
        <v>0</v>
      </c>
      <c r="S883" s="16"/>
      <c r="T883" s="80" t="str">
        <f>IF(S883="","",VLOOKUP(S883,VALORACION!F:G,2,FALSE))</f>
        <v/>
      </c>
      <c r="U883" s="11"/>
      <c r="V883" s="80" t="str">
        <f>IF(U883="","",VLOOKUP(U883,ROLES!G:H,2,FALSE))</f>
        <v/>
      </c>
      <c r="W883" s="6"/>
      <c r="X883" s="6"/>
      <c r="Y883" s="95" t="e">
        <f t="shared" si="27"/>
        <v>#VALUE!</v>
      </c>
      <c r="Z883" s="6"/>
      <c r="AA883" s="6"/>
    </row>
    <row r="884" spans="1:27" ht="28.95" customHeight="1" x14ac:dyDescent="0.3">
      <c r="A884" s="91"/>
      <c r="B884" s="91"/>
      <c r="C884" s="80"/>
      <c r="D884" s="91"/>
      <c r="E884" s="80"/>
      <c r="F884" s="6"/>
      <c r="G884" s="6"/>
      <c r="H884" s="25"/>
      <c r="I884" s="133"/>
      <c r="J884" s="6"/>
      <c r="K884" s="6"/>
      <c r="L884" s="6"/>
      <c r="M884" s="6"/>
      <c r="N884" s="84"/>
      <c r="O884" s="80" t="str">
        <f>IF(N884="","",VLOOKUP(N884,ROLES!B:C,2,FALSE))</f>
        <v/>
      </c>
      <c r="P884" s="6"/>
      <c r="Q884" s="6"/>
      <c r="R884" s="16">
        <f t="shared" si="28"/>
        <v>0</v>
      </c>
      <c r="S884" s="16"/>
      <c r="T884" s="80" t="str">
        <f>IF(S884="","",VLOOKUP(S884,VALORACION!F:G,2,FALSE))</f>
        <v/>
      </c>
      <c r="U884" s="11"/>
      <c r="V884" s="80" t="str">
        <f>IF(U884="","",VLOOKUP(U884,ROLES!G:H,2,FALSE))</f>
        <v/>
      </c>
      <c r="W884" s="6"/>
      <c r="X884" s="6"/>
      <c r="Y884" s="95" t="e">
        <f t="shared" si="27"/>
        <v>#VALUE!</v>
      </c>
      <c r="Z884" s="6"/>
      <c r="AA884" s="6"/>
    </row>
    <row r="885" spans="1:27" ht="28.95" customHeight="1" x14ac:dyDescent="0.3">
      <c r="A885" s="91"/>
      <c r="B885" s="91"/>
      <c r="C885" s="80"/>
      <c r="D885" s="91"/>
      <c r="E885" s="80"/>
      <c r="F885" s="6"/>
      <c r="G885" s="6"/>
      <c r="H885" s="25"/>
      <c r="I885" s="133"/>
      <c r="J885" s="6"/>
      <c r="K885" s="6"/>
      <c r="L885" s="6"/>
      <c r="M885" s="6"/>
      <c r="N885" s="84"/>
      <c r="O885" s="80" t="str">
        <f>IF(N885="","",VLOOKUP(N885,ROLES!B:C,2,FALSE))</f>
        <v/>
      </c>
      <c r="P885" s="6"/>
      <c r="Q885" s="6"/>
      <c r="R885" s="16">
        <f t="shared" si="28"/>
        <v>0</v>
      </c>
      <c r="S885" s="16"/>
      <c r="T885" s="80" t="str">
        <f>IF(S885="","",VLOOKUP(S885,VALORACION!F:G,2,FALSE))</f>
        <v/>
      </c>
      <c r="U885" s="11"/>
      <c r="V885" s="80" t="str">
        <f>IF(U885="","",VLOOKUP(U885,ROLES!G:H,2,FALSE))</f>
        <v/>
      </c>
      <c r="W885" s="6"/>
      <c r="X885" s="6"/>
      <c r="Y885" s="95" t="e">
        <f t="shared" si="27"/>
        <v>#VALUE!</v>
      </c>
      <c r="Z885" s="6"/>
      <c r="AA885" s="6"/>
    </row>
    <row r="886" spans="1:27" ht="28.95" customHeight="1" x14ac:dyDescent="0.3">
      <c r="A886" s="91"/>
      <c r="B886" s="91"/>
      <c r="C886" s="80"/>
      <c r="D886" s="91"/>
      <c r="E886" s="80"/>
      <c r="F886" s="6"/>
      <c r="G886" s="6"/>
      <c r="H886" s="25"/>
      <c r="I886" s="133"/>
      <c r="J886" s="6"/>
      <c r="K886" s="6"/>
      <c r="L886" s="6"/>
      <c r="M886" s="6"/>
      <c r="N886" s="84"/>
      <c r="O886" s="80" t="str">
        <f>IF(N886="","",VLOOKUP(N886,ROLES!B:C,2,FALSE))</f>
        <v/>
      </c>
      <c r="P886" s="6"/>
      <c r="Q886" s="6"/>
      <c r="R886" s="16">
        <f t="shared" si="28"/>
        <v>0</v>
      </c>
      <c r="S886" s="16"/>
      <c r="T886" s="80" t="str">
        <f>IF(S886="","",VLOOKUP(S886,VALORACION!F:G,2,FALSE))</f>
        <v/>
      </c>
      <c r="U886" s="11"/>
      <c r="V886" s="80" t="str">
        <f>IF(U886="","",VLOOKUP(U886,ROLES!G:H,2,FALSE))</f>
        <v/>
      </c>
      <c r="W886" s="6"/>
      <c r="X886" s="6"/>
      <c r="Y886" s="95" t="e">
        <f t="shared" si="27"/>
        <v>#VALUE!</v>
      </c>
      <c r="Z886" s="6"/>
      <c r="AA886" s="6"/>
    </row>
    <row r="887" spans="1:27" ht="28.95" customHeight="1" x14ac:dyDescent="0.3">
      <c r="A887" s="91"/>
      <c r="B887" s="91"/>
      <c r="C887" s="80"/>
      <c r="D887" s="91"/>
      <c r="E887" s="80"/>
      <c r="F887" s="6"/>
      <c r="G887" s="6"/>
      <c r="H887" s="25"/>
      <c r="I887" s="133"/>
      <c r="J887" s="6"/>
      <c r="K887" s="6"/>
      <c r="L887" s="6"/>
      <c r="M887" s="6"/>
      <c r="N887" s="84"/>
      <c r="O887" s="80" t="str">
        <f>IF(N887="","",VLOOKUP(N887,ROLES!B:C,2,FALSE))</f>
        <v/>
      </c>
      <c r="P887" s="6"/>
      <c r="Q887" s="6"/>
      <c r="R887" s="16">
        <f t="shared" si="28"/>
        <v>0</v>
      </c>
      <c r="S887" s="16"/>
      <c r="T887" s="80" t="str">
        <f>IF(S887="","",VLOOKUP(S887,VALORACION!F:G,2,FALSE))</f>
        <v/>
      </c>
      <c r="U887" s="11"/>
      <c r="V887" s="80" t="str">
        <f>IF(U887="","",VLOOKUP(U887,ROLES!G:H,2,FALSE))</f>
        <v/>
      </c>
      <c r="W887" s="6"/>
      <c r="X887" s="6"/>
      <c r="Y887" s="95" t="e">
        <f t="shared" si="27"/>
        <v>#VALUE!</v>
      </c>
      <c r="Z887" s="6"/>
      <c r="AA887" s="6"/>
    </row>
    <row r="888" spans="1:27" ht="28.95" customHeight="1" x14ac:dyDescent="0.3">
      <c r="A888" s="91"/>
      <c r="B888" s="91"/>
      <c r="C888" s="80"/>
      <c r="D888" s="91"/>
      <c r="E888" s="80"/>
      <c r="F888" s="6"/>
      <c r="G888" s="6"/>
      <c r="H888" s="25"/>
      <c r="I888" s="133"/>
      <c r="J888" s="6"/>
      <c r="K888" s="6"/>
      <c r="L888" s="6"/>
      <c r="M888" s="6"/>
      <c r="N888" s="84"/>
      <c r="O888" s="80" t="str">
        <f>IF(N888="","",VLOOKUP(N888,ROLES!B:C,2,FALSE))</f>
        <v/>
      </c>
      <c r="P888" s="6"/>
      <c r="Q888" s="6"/>
      <c r="R888" s="16">
        <f t="shared" si="28"/>
        <v>0</v>
      </c>
      <c r="S888" s="16"/>
      <c r="T888" s="80" t="str">
        <f>IF(S888="","",VLOOKUP(S888,VALORACION!F:G,2,FALSE))</f>
        <v/>
      </c>
      <c r="U888" s="11"/>
      <c r="V888" s="80" t="str">
        <f>IF(U888="","",VLOOKUP(U888,ROLES!G:H,2,FALSE))</f>
        <v/>
      </c>
      <c r="W888" s="6"/>
      <c r="X888" s="6"/>
      <c r="Y888" s="95" t="e">
        <f t="shared" si="27"/>
        <v>#VALUE!</v>
      </c>
      <c r="Z888" s="6"/>
      <c r="AA888" s="6"/>
    </row>
    <row r="889" spans="1:27" ht="28.95" customHeight="1" x14ac:dyDescent="0.3">
      <c r="A889" s="91"/>
      <c r="B889" s="91"/>
      <c r="C889" s="80"/>
      <c r="D889" s="91"/>
      <c r="E889" s="80"/>
      <c r="F889" s="6"/>
      <c r="G889" s="6"/>
      <c r="H889" s="25"/>
      <c r="I889" s="133"/>
      <c r="J889" s="6"/>
      <c r="K889" s="6"/>
      <c r="L889" s="6"/>
      <c r="M889" s="6"/>
      <c r="N889" s="84"/>
      <c r="O889" s="80" t="str">
        <f>IF(N889="","",VLOOKUP(N889,ROLES!B:C,2,FALSE))</f>
        <v/>
      </c>
      <c r="P889" s="6"/>
      <c r="Q889" s="6"/>
      <c r="R889" s="16">
        <f t="shared" si="28"/>
        <v>0</v>
      </c>
      <c r="S889" s="16"/>
      <c r="T889" s="80" t="str">
        <f>IF(S889="","",VLOOKUP(S889,VALORACION!F:G,2,FALSE))</f>
        <v/>
      </c>
      <c r="U889" s="11"/>
      <c r="V889" s="80" t="str">
        <f>IF(U889="","",VLOOKUP(U889,ROLES!G:H,2,FALSE))</f>
        <v/>
      </c>
      <c r="W889" s="6"/>
      <c r="X889" s="6"/>
      <c r="Y889" s="95" t="e">
        <f t="shared" si="27"/>
        <v>#VALUE!</v>
      </c>
      <c r="Z889" s="6"/>
      <c r="AA889" s="6"/>
    </row>
    <row r="890" spans="1:27" ht="28.95" customHeight="1" x14ac:dyDescent="0.3">
      <c r="A890" s="91"/>
      <c r="B890" s="91"/>
      <c r="C890" s="80"/>
      <c r="D890" s="91"/>
      <c r="E890" s="80"/>
      <c r="F890" s="6"/>
      <c r="G890" s="6"/>
      <c r="H890" s="25"/>
      <c r="I890" s="133"/>
      <c r="J890" s="6"/>
      <c r="K890" s="6"/>
      <c r="L890" s="6"/>
      <c r="M890" s="6"/>
      <c r="N890" s="84"/>
      <c r="O890" s="80" t="str">
        <f>IF(N890="","",VLOOKUP(N890,ROLES!B:C,2,FALSE))</f>
        <v/>
      </c>
      <c r="P890" s="6"/>
      <c r="Q890" s="6"/>
      <c r="R890" s="16">
        <f t="shared" si="28"/>
        <v>0</v>
      </c>
      <c r="S890" s="16"/>
      <c r="T890" s="80" t="str">
        <f>IF(S890="","",VLOOKUP(S890,VALORACION!F:G,2,FALSE))</f>
        <v/>
      </c>
      <c r="U890" s="11"/>
      <c r="V890" s="80" t="str">
        <f>IF(U890="","",VLOOKUP(U890,ROLES!G:H,2,FALSE))</f>
        <v/>
      </c>
      <c r="W890" s="6"/>
      <c r="X890" s="6"/>
      <c r="Y890" s="95" t="e">
        <f t="shared" si="27"/>
        <v>#VALUE!</v>
      </c>
      <c r="Z890" s="6"/>
      <c r="AA890" s="6"/>
    </row>
    <row r="891" spans="1:27" ht="28.95" customHeight="1" x14ac:dyDescent="0.3">
      <c r="A891" s="91"/>
      <c r="B891" s="91"/>
      <c r="C891" s="80"/>
      <c r="D891" s="91"/>
      <c r="E891" s="80"/>
      <c r="F891" s="6"/>
      <c r="G891" s="6"/>
      <c r="H891" s="25"/>
      <c r="I891" s="133"/>
      <c r="J891" s="6"/>
      <c r="K891" s="6"/>
      <c r="L891" s="6"/>
      <c r="M891" s="6"/>
      <c r="N891" s="84"/>
      <c r="O891" s="80" t="str">
        <f>IF(N891="","",VLOOKUP(N891,ROLES!B:C,2,FALSE))</f>
        <v/>
      </c>
      <c r="P891" s="6"/>
      <c r="Q891" s="6"/>
      <c r="R891" s="16">
        <f t="shared" si="28"/>
        <v>0</v>
      </c>
      <c r="S891" s="16"/>
      <c r="T891" s="80" t="str">
        <f>IF(S891="","",VLOOKUP(S891,VALORACION!F:G,2,FALSE))</f>
        <v/>
      </c>
      <c r="U891" s="11"/>
      <c r="V891" s="80" t="str">
        <f>IF(U891="","",VLOOKUP(U891,ROLES!G:H,2,FALSE))</f>
        <v/>
      </c>
      <c r="W891" s="6"/>
      <c r="X891" s="6"/>
      <c r="Y891" s="95" t="e">
        <f t="shared" si="27"/>
        <v>#VALUE!</v>
      </c>
      <c r="Z891" s="6"/>
      <c r="AA891" s="6"/>
    </row>
    <row r="892" spans="1:27" ht="28.95" customHeight="1" x14ac:dyDescent="0.3">
      <c r="A892" s="91"/>
      <c r="B892" s="91"/>
      <c r="C892" s="80"/>
      <c r="D892" s="91"/>
      <c r="E892" s="80"/>
      <c r="F892" s="6"/>
      <c r="G892" s="6"/>
      <c r="H892" s="25"/>
      <c r="I892" s="133"/>
      <c r="J892" s="6"/>
      <c r="K892" s="6"/>
      <c r="L892" s="6"/>
      <c r="M892" s="6"/>
      <c r="N892" s="84"/>
      <c r="O892" s="80" t="str">
        <f>IF(N892="","",VLOOKUP(N892,ROLES!B:C,2,FALSE))</f>
        <v/>
      </c>
      <c r="P892" s="6"/>
      <c r="Q892" s="6"/>
      <c r="R892" s="16">
        <f t="shared" si="28"/>
        <v>0</v>
      </c>
      <c r="S892" s="16"/>
      <c r="T892" s="80" t="str">
        <f>IF(S892="","",VLOOKUP(S892,VALORACION!F:G,2,FALSE))</f>
        <v/>
      </c>
      <c r="U892" s="11"/>
      <c r="V892" s="80" t="str">
        <f>IF(U892="","",VLOOKUP(U892,ROLES!G:H,2,FALSE))</f>
        <v/>
      </c>
      <c r="W892" s="6"/>
      <c r="X892" s="6"/>
      <c r="Y892" s="95" t="e">
        <f t="shared" si="27"/>
        <v>#VALUE!</v>
      </c>
      <c r="Z892" s="6"/>
      <c r="AA892" s="6"/>
    </row>
    <row r="893" spans="1:27" ht="28.95" customHeight="1" x14ac:dyDescent="0.3">
      <c r="A893" s="91"/>
      <c r="B893" s="91"/>
      <c r="C893" s="80"/>
      <c r="D893" s="91"/>
      <c r="E893" s="80"/>
      <c r="F893" s="6"/>
      <c r="G893" s="6"/>
      <c r="H893" s="25"/>
      <c r="I893" s="133"/>
      <c r="J893" s="6"/>
      <c r="K893" s="6"/>
      <c r="L893" s="6"/>
      <c r="M893" s="6"/>
      <c r="N893" s="84"/>
      <c r="O893" s="80" t="str">
        <f>IF(N893="","",VLOOKUP(N893,ROLES!B:C,2,FALSE))</f>
        <v/>
      </c>
      <c r="P893" s="6"/>
      <c r="Q893" s="6"/>
      <c r="R893" s="16">
        <f t="shared" si="28"/>
        <v>0</v>
      </c>
      <c r="S893" s="16"/>
      <c r="T893" s="80" t="str">
        <f>IF(S893="","",VLOOKUP(S893,VALORACION!F:G,2,FALSE))</f>
        <v/>
      </c>
      <c r="U893" s="11"/>
      <c r="V893" s="80" t="str">
        <f>IF(U893="","",VLOOKUP(U893,ROLES!G:H,2,FALSE))</f>
        <v/>
      </c>
      <c r="W893" s="6"/>
      <c r="X893" s="6"/>
      <c r="Y893" s="95" t="e">
        <f t="shared" si="27"/>
        <v>#VALUE!</v>
      </c>
      <c r="Z893" s="6"/>
      <c r="AA893" s="6"/>
    </row>
    <row r="894" spans="1:27" ht="28.95" customHeight="1" x14ac:dyDescent="0.3">
      <c r="A894" s="91"/>
      <c r="B894" s="91"/>
      <c r="C894" s="80"/>
      <c r="D894" s="91"/>
      <c r="E894" s="80"/>
      <c r="F894" s="6"/>
      <c r="G894" s="6"/>
      <c r="H894" s="25"/>
      <c r="I894" s="133"/>
      <c r="J894" s="6"/>
      <c r="K894" s="6"/>
      <c r="L894" s="6"/>
      <c r="M894" s="6"/>
      <c r="N894" s="84"/>
      <c r="O894" s="80" t="str">
        <f>IF(N894="","",VLOOKUP(N894,ROLES!B:C,2,FALSE))</f>
        <v/>
      </c>
      <c r="P894" s="6"/>
      <c r="Q894" s="6"/>
      <c r="R894" s="16">
        <f t="shared" si="28"/>
        <v>0</v>
      </c>
      <c r="S894" s="16"/>
      <c r="T894" s="80" t="str">
        <f>IF(S894="","",VLOOKUP(S894,VALORACION!F:G,2,FALSE))</f>
        <v/>
      </c>
      <c r="U894" s="11"/>
      <c r="V894" s="80" t="str">
        <f>IF(U894="","",VLOOKUP(U894,ROLES!G:H,2,FALSE))</f>
        <v/>
      </c>
      <c r="W894" s="6"/>
      <c r="X894" s="6"/>
      <c r="Y894" s="95" t="e">
        <f t="shared" si="27"/>
        <v>#VALUE!</v>
      </c>
      <c r="Z894" s="6"/>
      <c r="AA894" s="6"/>
    </row>
    <row r="895" spans="1:27" ht="28.95" customHeight="1" x14ac:dyDescent="0.3">
      <c r="A895" s="91"/>
      <c r="B895" s="91"/>
      <c r="C895" s="80"/>
      <c r="D895" s="91"/>
      <c r="E895" s="80"/>
      <c r="F895" s="6"/>
      <c r="G895" s="6"/>
      <c r="H895" s="25"/>
      <c r="I895" s="133"/>
      <c r="J895" s="6"/>
      <c r="K895" s="6"/>
      <c r="L895" s="6"/>
      <c r="M895" s="6"/>
      <c r="N895" s="84"/>
      <c r="O895" s="80" t="str">
        <f>IF(N895="","",VLOOKUP(N895,ROLES!B:C,2,FALSE))</f>
        <v/>
      </c>
      <c r="P895" s="6"/>
      <c r="Q895" s="6"/>
      <c r="R895" s="16">
        <f t="shared" si="28"/>
        <v>0</v>
      </c>
      <c r="S895" s="16"/>
      <c r="T895" s="80" t="str">
        <f>IF(S895="","",VLOOKUP(S895,VALORACION!F:G,2,FALSE))</f>
        <v/>
      </c>
      <c r="U895" s="11"/>
      <c r="V895" s="80" t="str">
        <f>IF(U895="","",VLOOKUP(U895,ROLES!G:H,2,FALSE))</f>
        <v/>
      </c>
      <c r="W895" s="6"/>
      <c r="X895" s="6"/>
      <c r="Y895" s="95" t="e">
        <f t="shared" si="27"/>
        <v>#VALUE!</v>
      </c>
      <c r="Z895" s="6"/>
      <c r="AA895" s="6"/>
    </row>
    <row r="896" spans="1:27" ht="28.95" customHeight="1" x14ac:dyDescent="0.3">
      <c r="A896" s="91"/>
      <c r="B896" s="91"/>
      <c r="C896" s="80"/>
      <c r="D896" s="91"/>
      <c r="E896" s="80"/>
      <c r="F896" s="6"/>
      <c r="G896" s="6"/>
      <c r="H896" s="25"/>
      <c r="I896" s="133"/>
      <c r="J896" s="6"/>
      <c r="K896" s="6"/>
      <c r="L896" s="6"/>
      <c r="M896" s="6"/>
      <c r="N896" s="84"/>
      <c r="O896" s="80" t="str">
        <f>IF(N896="","",VLOOKUP(N896,ROLES!B:C,2,FALSE))</f>
        <v/>
      </c>
      <c r="P896" s="6"/>
      <c r="Q896" s="6"/>
      <c r="R896" s="16">
        <f t="shared" si="28"/>
        <v>0</v>
      </c>
      <c r="S896" s="16"/>
      <c r="T896" s="80" t="str">
        <f>IF(S896="","",VLOOKUP(S896,VALORACION!F:G,2,FALSE))</f>
        <v/>
      </c>
      <c r="U896" s="11"/>
      <c r="V896" s="80" t="str">
        <f>IF(U896="","",VLOOKUP(U896,ROLES!G:H,2,FALSE))</f>
        <v/>
      </c>
      <c r="W896" s="6"/>
      <c r="X896" s="6"/>
      <c r="Y896" s="95" t="e">
        <f t="shared" si="27"/>
        <v>#VALUE!</v>
      </c>
      <c r="Z896" s="6"/>
      <c r="AA896" s="6"/>
    </row>
    <row r="897" spans="1:27" ht="28.95" customHeight="1" x14ac:dyDescent="0.3">
      <c r="A897" s="91"/>
      <c r="B897" s="91"/>
      <c r="C897" s="80"/>
      <c r="D897" s="91"/>
      <c r="E897" s="80"/>
      <c r="F897" s="6"/>
      <c r="G897" s="6"/>
      <c r="H897" s="25"/>
      <c r="I897" s="133"/>
      <c r="J897" s="6"/>
      <c r="K897" s="6"/>
      <c r="L897" s="6"/>
      <c r="M897" s="6"/>
      <c r="N897" s="84"/>
      <c r="O897" s="80" t="str">
        <f>IF(N897="","",VLOOKUP(N897,ROLES!B:C,2,FALSE))</f>
        <v/>
      </c>
      <c r="P897" s="6"/>
      <c r="Q897" s="6"/>
      <c r="R897" s="16">
        <f t="shared" si="28"/>
        <v>0</v>
      </c>
      <c r="S897" s="16"/>
      <c r="T897" s="80" t="str">
        <f>IF(S897="","",VLOOKUP(S897,VALORACION!F:G,2,FALSE))</f>
        <v/>
      </c>
      <c r="U897" s="11"/>
      <c r="V897" s="80" t="str">
        <f>IF(U897="","",VLOOKUP(U897,ROLES!G:H,2,FALSE))</f>
        <v/>
      </c>
      <c r="W897" s="6"/>
      <c r="X897" s="6"/>
      <c r="Y897" s="95" t="e">
        <f t="shared" si="27"/>
        <v>#VALUE!</v>
      </c>
      <c r="Z897" s="6"/>
      <c r="AA897" s="6"/>
    </row>
    <row r="898" spans="1:27" ht="28.95" customHeight="1" x14ac:dyDescent="0.3">
      <c r="A898" s="91"/>
      <c r="B898" s="91"/>
      <c r="C898" s="80"/>
      <c r="D898" s="91"/>
      <c r="E898" s="80"/>
      <c r="F898" s="6"/>
      <c r="G898" s="6"/>
      <c r="H898" s="25"/>
      <c r="I898" s="133"/>
      <c r="J898" s="6"/>
      <c r="K898" s="6"/>
      <c r="L898" s="6"/>
      <c r="M898" s="6"/>
      <c r="N898" s="84"/>
      <c r="O898" s="80" t="str">
        <f>IF(N898="","",VLOOKUP(N898,ROLES!B:C,2,FALSE))</f>
        <v/>
      </c>
      <c r="P898" s="6"/>
      <c r="Q898" s="6"/>
      <c r="R898" s="16">
        <f t="shared" si="28"/>
        <v>0</v>
      </c>
      <c r="S898" s="16"/>
      <c r="T898" s="80" t="str">
        <f>IF(S898="","",VLOOKUP(S898,VALORACION!F:G,2,FALSE))</f>
        <v/>
      </c>
      <c r="U898" s="11"/>
      <c r="V898" s="80" t="str">
        <f>IF(U898="","",VLOOKUP(U898,ROLES!G:H,2,FALSE))</f>
        <v/>
      </c>
      <c r="W898" s="6"/>
      <c r="X898" s="6"/>
      <c r="Y898" s="95" t="e">
        <f t="shared" si="27"/>
        <v>#VALUE!</v>
      </c>
      <c r="Z898" s="6"/>
      <c r="AA898" s="6"/>
    </row>
    <row r="899" spans="1:27" ht="28.95" customHeight="1" x14ac:dyDescent="0.3">
      <c r="A899" s="91"/>
      <c r="B899" s="91"/>
      <c r="C899" s="80"/>
      <c r="D899" s="91"/>
      <c r="E899" s="80"/>
      <c r="F899" s="6"/>
      <c r="G899" s="6"/>
      <c r="H899" s="25"/>
      <c r="I899" s="133"/>
      <c r="J899" s="6"/>
      <c r="K899" s="6"/>
      <c r="L899" s="6"/>
      <c r="M899" s="6"/>
      <c r="N899" s="84"/>
      <c r="O899" s="80" t="str">
        <f>IF(N899="","",VLOOKUP(N899,ROLES!B:C,2,FALSE))</f>
        <v/>
      </c>
      <c r="P899" s="6"/>
      <c r="Q899" s="6"/>
      <c r="R899" s="16">
        <f t="shared" si="28"/>
        <v>0</v>
      </c>
      <c r="S899" s="16"/>
      <c r="T899" s="80" t="str">
        <f>IF(S899="","",VLOOKUP(S899,VALORACION!F:G,2,FALSE))</f>
        <v/>
      </c>
      <c r="U899" s="11"/>
      <c r="V899" s="80" t="str">
        <f>IF(U899="","",VLOOKUP(U899,ROLES!G:H,2,FALSE))</f>
        <v/>
      </c>
      <c r="W899" s="6"/>
      <c r="X899" s="6"/>
      <c r="Y899" s="95" t="e">
        <f t="shared" si="27"/>
        <v>#VALUE!</v>
      </c>
      <c r="Z899" s="6"/>
      <c r="AA899" s="6"/>
    </row>
    <row r="900" spans="1:27" ht="28.95" customHeight="1" x14ac:dyDescent="0.3">
      <c r="A900" s="91"/>
      <c r="B900" s="91"/>
      <c r="C900" s="80"/>
      <c r="D900" s="91"/>
      <c r="E900" s="80"/>
      <c r="F900" s="6"/>
      <c r="G900" s="6"/>
      <c r="H900" s="25"/>
      <c r="I900" s="133"/>
      <c r="J900" s="6"/>
      <c r="K900" s="6"/>
      <c r="L900" s="6"/>
      <c r="M900" s="6"/>
      <c r="N900" s="84"/>
      <c r="O900" s="80" t="str">
        <f>IF(N900="","",VLOOKUP(N900,ROLES!B:C,2,FALSE))</f>
        <v/>
      </c>
      <c r="P900" s="6"/>
      <c r="Q900" s="6"/>
      <c r="R900" s="16">
        <f t="shared" si="28"/>
        <v>0</v>
      </c>
      <c r="S900" s="16"/>
      <c r="T900" s="80" t="str">
        <f>IF(S900="","",VLOOKUP(S900,VALORACION!F:G,2,FALSE))</f>
        <v/>
      </c>
      <c r="U900" s="11"/>
      <c r="V900" s="80" t="str">
        <f>IF(U900="","",VLOOKUP(U900,ROLES!G:H,2,FALSE))</f>
        <v/>
      </c>
      <c r="W900" s="6"/>
      <c r="X900" s="6"/>
      <c r="Y900" s="95" t="e">
        <f t="shared" si="27"/>
        <v>#VALUE!</v>
      </c>
      <c r="Z900" s="6"/>
      <c r="AA900" s="6"/>
    </row>
    <row r="901" spans="1:27" ht="28.95" customHeight="1" x14ac:dyDescent="0.3">
      <c r="A901" s="91"/>
      <c r="B901" s="91"/>
      <c r="C901" s="80"/>
      <c r="D901" s="91"/>
      <c r="E901" s="80"/>
      <c r="F901" s="6"/>
      <c r="G901" s="6"/>
      <c r="H901" s="25"/>
      <c r="I901" s="133"/>
      <c r="J901" s="6"/>
      <c r="K901" s="6"/>
      <c r="L901" s="6"/>
      <c r="M901" s="6"/>
      <c r="N901" s="84"/>
      <c r="O901" s="80" t="str">
        <f>IF(N901="","",VLOOKUP(N901,ROLES!B:C,2,FALSE))</f>
        <v/>
      </c>
      <c r="P901" s="6"/>
      <c r="Q901" s="6"/>
      <c r="R901" s="16">
        <f t="shared" si="28"/>
        <v>0</v>
      </c>
      <c r="S901" s="16"/>
      <c r="T901" s="80" t="str">
        <f>IF(S901="","",VLOOKUP(S901,VALORACION!F:G,2,FALSE))</f>
        <v/>
      </c>
      <c r="U901" s="11"/>
      <c r="V901" s="80" t="str">
        <f>IF(U901="","",VLOOKUP(U901,ROLES!G:H,2,FALSE))</f>
        <v/>
      </c>
      <c r="W901" s="6"/>
      <c r="X901" s="6"/>
      <c r="Y901" s="95" t="e">
        <f t="shared" ref="Y901:Y964" si="29">(VALUE(O901)+VALUE(V901)+VALUE(X901)+VALUE(T901))/3</f>
        <v>#VALUE!</v>
      </c>
      <c r="Z901" s="6"/>
      <c r="AA901" s="6"/>
    </row>
    <row r="902" spans="1:27" ht="28.95" customHeight="1" x14ac:dyDescent="0.3">
      <c r="A902" s="91"/>
      <c r="B902" s="91"/>
      <c r="C902" s="80"/>
      <c r="D902" s="91"/>
      <c r="E902" s="80"/>
      <c r="F902" s="6"/>
      <c r="G902" s="6"/>
      <c r="H902" s="25"/>
      <c r="I902" s="133"/>
      <c r="J902" s="6"/>
      <c r="K902" s="6"/>
      <c r="L902" s="6"/>
      <c r="M902" s="6"/>
      <c r="N902" s="84"/>
      <c r="O902" s="80" t="str">
        <f>IF(N902="","",VLOOKUP(N902,ROLES!B:C,2,FALSE))</f>
        <v/>
      </c>
      <c r="P902" s="6"/>
      <c r="Q902" s="6"/>
      <c r="R902" s="16">
        <f t="shared" si="28"/>
        <v>0</v>
      </c>
      <c r="S902" s="16"/>
      <c r="T902" s="80" t="str">
        <f>IF(S902="","",VLOOKUP(S902,VALORACION!F:G,2,FALSE))</f>
        <v/>
      </c>
      <c r="U902" s="11"/>
      <c r="V902" s="80" t="str">
        <f>IF(U902="","",VLOOKUP(U902,ROLES!G:H,2,FALSE))</f>
        <v/>
      </c>
      <c r="W902" s="6"/>
      <c r="X902" s="6"/>
      <c r="Y902" s="95" t="e">
        <f t="shared" si="29"/>
        <v>#VALUE!</v>
      </c>
      <c r="Z902" s="6"/>
      <c r="AA902" s="6"/>
    </row>
    <row r="903" spans="1:27" ht="28.95" customHeight="1" x14ac:dyDescent="0.3">
      <c r="A903" s="91"/>
      <c r="B903" s="91"/>
      <c r="C903" s="80"/>
      <c r="D903" s="91"/>
      <c r="E903" s="80"/>
      <c r="F903" s="6"/>
      <c r="G903" s="6"/>
      <c r="H903" s="25"/>
      <c r="I903" s="133"/>
      <c r="J903" s="6"/>
      <c r="K903" s="6"/>
      <c r="L903" s="6"/>
      <c r="M903" s="6"/>
      <c r="N903" s="84"/>
      <c r="O903" s="80" t="str">
        <f>IF(N903="","",VLOOKUP(N903,ROLES!B:C,2,FALSE))</f>
        <v/>
      </c>
      <c r="P903" s="6"/>
      <c r="Q903" s="6"/>
      <c r="R903" s="16">
        <f t="shared" ref="R903:R966" si="30">DATEDIF(P903,Q903,"m")</f>
        <v>0</v>
      </c>
      <c r="S903" s="16"/>
      <c r="T903" s="80" t="str">
        <f>IF(S903="","",VLOOKUP(S903,VALORACION!F:G,2,FALSE))</f>
        <v/>
      </c>
      <c r="U903" s="11"/>
      <c r="V903" s="80" t="str">
        <f>IF(U903="","",VLOOKUP(U903,ROLES!G:H,2,FALSE))</f>
        <v/>
      </c>
      <c r="W903" s="6"/>
      <c r="X903" s="6"/>
      <c r="Y903" s="95" t="e">
        <f t="shared" si="29"/>
        <v>#VALUE!</v>
      </c>
      <c r="Z903" s="6"/>
      <c r="AA903" s="6"/>
    </row>
    <row r="904" spans="1:27" ht="28.95" customHeight="1" x14ac:dyDescent="0.3">
      <c r="A904" s="91"/>
      <c r="B904" s="91"/>
      <c r="C904" s="80"/>
      <c r="D904" s="91"/>
      <c r="E904" s="80"/>
      <c r="F904" s="6"/>
      <c r="G904" s="6"/>
      <c r="H904" s="25"/>
      <c r="I904" s="133"/>
      <c r="J904" s="6"/>
      <c r="K904" s="6"/>
      <c r="L904" s="6"/>
      <c r="M904" s="6"/>
      <c r="N904" s="84"/>
      <c r="O904" s="80" t="str">
        <f>IF(N904="","",VLOOKUP(N904,ROLES!B:C,2,FALSE))</f>
        <v/>
      </c>
      <c r="P904" s="6"/>
      <c r="Q904" s="6"/>
      <c r="R904" s="16">
        <f t="shared" si="30"/>
        <v>0</v>
      </c>
      <c r="S904" s="16"/>
      <c r="T904" s="80" t="str">
        <f>IF(S904="","",VLOOKUP(S904,VALORACION!F:G,2,FALSE))</f>
        <v/>
      </c>
      <c r="U904" s="11"/>
      <c r="V904" s="80" t="str">
        <f>IF(U904="","",VLOOKUP(U904,ROLES!G:H,2,FALSE))</f>
        <v/>
      </c>
      <c r="W904" s="6"/>
      <c r="X904" s="6"/>
      <c r="Y904" s="95" t="e">
        <f t="shared" si="29"/>
        <v>#VALUE!</v>
      </c>
      <c r="Z904" s="6"/>
      <c r="AA904" s="6"/>
    </row>
    <row r="905" spans="1:27" ht="28.95" customHeight="1" x14ac:dyDescent="0.3">
      <c r="A905" s="91"/>
      <c r="B905" s="91"/>
      <c r="C905" s="80"/>
      <c r="D905" s="91"/>
      <c r="E905" s="80"/>
      <c r="F905" s="6"/>
      <c r="G905" s="6"/>
      <c r="H905" s="25"/>
      <c r="I905" s="133"/>
      <c r="J905" s="6"/>
      <c r="K905" s="6"/>
      <c r="L905" s="6"/>
      <c r="M905" s="6"/>
      <c r="N905" s="84"/>
      <c r="O905" s="80" t="str">
        <f>IF(N905="","",VLOOKUP(N905,ROLES!B:C,2,FALSE))</f>
        <v/>
      </c>
      <c r="P905" s="6"/>
      <c r="Q905" s="6"/>
      <c r="R905" s="16">
        <f t="shared" si="30"/>
        <v>0</v>
      </c>
      <c r="S905" s="16"/>
      <c r="T905" s="80" t="str">
        <f>IF(S905="","",VLOOKUP(S905,VALORACION!F:G,2,FALSE))</f>
        <v/>
      </c>
      <c r="U905" s="11"/>
      <c r="V905" s="80" t="str">
        <f>IF(U905="","",VLOOKUP(U905,ROLES!G:H,2,FALSE))</f>
        <v/>
      </c>
      <c r="W905" s="6"/>
      <c r="X905" s="6"/>
      <c r="Y905" s="95" t="e">
        <f t="shared" si="29"/>
        <v>#VALUE!</v>
      </c>
      <c r="Z905" s="6"/>
      <c r="AA905" s="6"/>
    </row>
    <row r="906" spans="1:27" ht="28.95" customHeight="1" x14ac:dyDescent="0.3">
      <c r="A906" s="91"/>
      <c r="B906" s="91"/>
      <c r="C906" s="80"/>
      <c r="D906" s="91"/>
      <c r="E906" s="80"/>
      <c r="F906" s="6"/>
      <c r="G906" s="6"/>
      <c r="H906" s="25"/>
      <c r="I906" s="133"/>
      <c r="J906" s="6"/>
      <c r="K906" s="6"/>
      <c r="L906" s="6"/>
      <c r="M906" s="6"/>
      <c r="N906" s="84"/>
      <c r="O906" s="80" t="str">
        <f>IF(N906="","",VLOOKUP(N906,ROLES!B:C,2,FALSE))</f>
        <v/>
      </c>
      <c r="P906" s="6"/>
      <c r="Q906" s="6"/>
      <c r="R906" s="16">
        <f t="shared" si="30"/>
        <v>0</v>
      </c>
      <c r="S906" s="16"/>
      <c r="T906" s="80" t="str">
        <f>IF(S906="","",VLOOKUP(S906,VALORACION!F:G,2,FALSE))</f>
        <v/>
      </c>
      <c r="U906" s="11"/>
      <c r="V906" s="80" t="str">
        <f>IF(U906="","",VLOOKUP(U906,ROLES!G:H,2,FALSE))</f>
        <v/>
      </c>
      <c r="W906" s="6"/>
      <c r="X906" s="6"/>
      <c r="Y906" s="95" t="e">
        <f t="shared" si="29"/>
        <v>#VALUE!</v>
      </c>
      <c r="Z906" s="6"/>
      <c r="AA906" s="6"/>
    </row>
    <row r="907" spans="1:27" ht="28.95" customHeight="1" x14ac:dyDescent="0.3">
      <c r="A907" s="91"/>
      <c r="B907" s="91"/>
      <c r="C907" s="80"/>
      <c r="D907" s="91"/>
      <c r="E907" s="80"/>
      <c r="F907" s="6"/>
      <c r="G907" s="6"/>
      <c r="H907" s="25"/>
      <c r="I907" s="133"/>
      <c r="J907" s="6"/>
      <c r="K907" s="6"/>
      <c r="L907" s="6"/>
      <c r="M907" s="6"/>
      <c r="N907" s="84"/>
      <c r="O907" s="80" t="str">
        <f>IF(N907="","",VLOOKUP(N907,ROLES!B:C,2,FALSE))</f>
        <v/>
      </c>
      <c r="P907" s="6"/>
      <c r="Q907" s="6"/>
      <c r="R907" s="16">
        <f t="shared" si="30"/>
        <v>0</v>
      </c>
      <c r="S907" s="16"/>
      <c r="T907" s="80" t="str">
        <f>IF(S907="","",VLOOKUP(S907,VALORACION!F:G,2,FALSE))</f>
        <v/>
      </c>
      <c r="U907" s="11"/>
      <c r="V907" s="80" t="str">
        <f>IF(U907="","",VLOOKUP(U907,ROLES!G:H,2,FALSE))</f>
        <v/>
      </c>
      <c r="W907" s="6"/>
      <c r="X907" s="6"/>
      <c r="Y907" s="95" t="e">
        <f t="shared" si="29"/>
        <v>#VALUE!</v>
      </c>
      <c r="Z907" s="6"/>
      <c r="AA907" s="6"/>
    </row>
    <row r="908" spans="1:27" ht="28.95" customHeight="1" x14ac:dyDescent="0.3">
      <c r="A908" s="91"/>
      <c r="B908" s="91"/>
      <c r="C908" s="80"/>
      <c r="D908" s="91"/>
      <c r="E908" s="80"/>
      <c r="F908" s="6"/>
      <c r="G908" s="6"/>
      <c r="H908" s="25"/>
      <c r="I908" s="133"/>
      <c r="J908" s="6"/>
      <c r="K908" s="6"/>
      <c r="L908" s="6"/>
      <c r="M908" s="6"/>
      <c r="N908" s="84"/>
      <c r="O908" s="80" t="str">
        <f>IF(N908="","",VLOOKUP(N908,ROLES!B:C,2,FALSE))</f>
        <v/>
      </c>
      <c r="P908" s="6"/>
      <c r="Q908" s="6"/>
      <c r="R908" s="16">
        <f t="shared" si="30"/>
        <v>0</v>
      </c>
      <c r="S908" s="16"/>
      <c r="T908" s="80" t="str">
        <f>IF(S908="","",VLOOKUP(S908,VALORACION!F:G,2,FALSE))</f>
        <v/>
      </c>
      <c r="U908" s="11"/>
      <c r="V908" s="80" t="str">
        <f>IF(U908="","",VLOOKUP(U908,ROLES!G:H,2,FALSE))</f>
        <v/>
      </c>
      <c r="W908" s="6"/>
      <c r="X908" s="6"/>
      <c r="Y908" s="95" t="e">
        <f t="shared" si="29"/>
        <v>#VALUE!</v>
      </c>
      <c r="Z908" s="6"/>
      <c r="AA908" s="6"/>
    </row>
    <row r="909" spans="1:27" ht="28.95" customHeight="1" x14ac:dyDescent="0.3">
      <c r="A909" s="91"/>
      <c r="B909" s="91"/>
      <c r="C909" s="80"/>
      <c r="D909" s="91"/>
      <c r="E909" s="80"/>
      <c r="F909" s="6"/>
      <c r="G909" s="6"/>
      <c r="H909" s="25"/>
      <c r="I909" s="133"/>
      <c r="J909" s="6"/>
      <c r="K909" s="6"/>
      <c r="L909" s="6"/>
      <c r="M909" s="6"/>
      <c r="N909" s="84"/>
      <c r="O909" s="80" t="str">
        <f>IF(N909="","",VLOOKUP(N909,ROLES!B:C,2,FALSE))</f>
        <v/>
      </c>
      <c r="P909" s="6"/>
      <c r="Q909" s="6"/>
      <c r="R909" s="16">
        <f t="shared" si="30"/>
        <v>0</v>
      </c>
      <c r="S909" s="16"/>
      <c r="T909" s="80" t="str">
        <f>IF(S909="","",VLOOKUP(S909,VALORACION!F:G,2,FALSE))</f>
        <v/>
      </c>
      <c r="U909" s="11"/>
      <c r="V909" s="80" t="str">
        <f>IF(U909="","",VLOOKUP(U909,ROLES!G:H,2,FALSE))</f>
        <v/>
      </c>
      <c r="W909" s="6"/>
      <c r="X909" s="6"/>
      <c r="Y909" s="95" t="e">
        <f t="shared" si="29"/>
        <v>#VALUE!</v>
      </c>
      <c r="Z909" s="6"/>
      <c r="AA909" s="6"/>
    </row>
    <row r="910" spans="1:27" ht="28.95" customHeight="1" x14ac:dyDescent="0.3">
      <c r="A910" s="91"/>
      <c r="B910" s="91"/>
      <c r="C910" s="80"/>
      <c r="D910" s="91"/>
      <c r="E910" s="80"/>
      <c r="F910" s="6"/>
      <c r="G910" s="6"/>
      <c r="H910" s="25"/>
      <c r="I910" s="133"/>
      <c r="J910" s="6"/>
      <c r="K910" s="6"/>
      <c r="L910" s="6"/>
      <c r="M910" s="6"/>
      <c r="N910" s="84"/>
      <c r="O910" s="80" t="str">
        <f>IF(N910="","",VLOOKUP(N910,ROLES!B:C,2,FALSE))</f>
        <v/>
      </c>
      <c r="P910" s="6"/>
      <c r="Q910" s="6"/>
      <c r="R910" s="16">
        <f t="shared" si="30"/>
        <v>0</v>
      </c>
      <c r="S910" s="16"/>
      <c r="T910" s="80" t="str">
        <f>IF(S910="","",VLOOKUP(S910,VALORACION!F:G,2,FALSE))</f>
        <v/>
      </c>
      <c r="U910" s="11"/>
      <c r="V910" s="80" t="str">
        <f>IF(U910="","",VLOOKUP(U910,ROLES!G:H,2,FALSE))</f>
        <v/>
      </c>
      <c r="W910" s="6"/>
      <c r="X910" s="6"/>
      <c r="Y910" s="95" t="e">
        <f t="shared" si="29"/>
        <v>#VALUE!</v>
      </c>
      <c r="Z910" s="6"/>
      <c r="AA910" s="6"/>
    </row>
    <row r="911" spans="1:27" ht="28.95" customHeight="1" x14ac:dyDescent="0.3">
      <c r="A911" s="91"/>
      <c r="B911" s="91"/>
      <c r="C911" s="80"/>
      <c r="D911" s="91"/>
      <c r="E911" s="80"/>
      <c r="F911" s="6"/>
      <c r="G911" s="6"/>
      <c r="H911" s="25"/>
      <c r="I911" s="133"/>
      <c r="J911" s="6"/>
      <c r="K911" s="6"/>
      <c r="L911" s="6"/>
      <c r="M911" s="6"/>
      <c r="N911" s="84"/>
      <c r="O911" s="80" t="str">
        <f>IF(N911="","",VLOOKUP(N911,ROLES!B:C,2,FALSE))</f>
        <v/>
      </c>
      <c r="P911" s="6"/>
      <c r="Q911" s="6"/>
      <c r="R911" s="16">
        <f t="shared" si="30"/>
        <v>0</v>
      </c>
      <c r="S911" s="16"/>
      <c r="T911" s="80" t="str">
        <f>IF(S911="","",VLOOKUP(S911,VALORACION!F:G,2,FALSE))</f>
        <v/>
      </c>
      <c r="U911" s="11"/>
      <c r="V911" s="80" t="str">
        <f>IF(U911="","",VLOOKUP(U911,ROLES!G:H,2,FALSE))</f>
        <v/>
      </c>
      <c r="W911" s="6"/>
      <c r="X911" s="6"/>
      <c r="Y911" s="95" t="e">
        <f t="shared" si="29"/>
        <v>#VALUE!</v>
      </c>
      <c r="Z911" s="6"/>
      <c r="AA911" s="6"/>
    </row>
    <row r="912" spans="1:27" ht="28.95" customHeight="1" x14ac:dyDescent="0.3">
      <c r="A912" s="91"/>
      <c r="B912" s="91"/>
      <c r="C912" s="80"/>
      <c r="D912" s="91"/>
      <c r="E912" s="80"/>
      <c r="F912" s="6"/>
      <c r="G912" s="6"/>
      <c r="H912" s="25"/>
      <c r="I912" s="133"/>
      <c r="J912" s="6"/>
      <c r="K912" s="6"/>
      <c r="L912" s="6"/>
      <c r="M912" s="6"/>
      <c r="N912" s="84"/>
      <c r="O912" s="80" t="str">
        <f>IF(N912="","",VLOOKUP(N912,ROLES!B:C,2,FALSE))</f>
        <v/>
      </c>
      <c r="P912" s="6"/>
      <c r="Q912" s="6"/>
      <c r="R912" s="16">
        <f t="shared" si="30"/>
        <v>0</v>
      </c>
      <c r="S912" s="16"/>
      <c r="T912" s="80" t="str">
        <f>IF(S912="","",VLOOKUP(S912,VALORACION!F:G,2,FALSE))</f>
        <v/>
      </c>
      <c r="U912" s="11"/>
      <c r="V912" s="80" t="str">
        <f>IF(U912="","",VLOOKUP(U912,ROLES!G:H,2,FALSE))</f>
        <v/>
      </c>
      <c r="W912" s="6"/>
      <c r="X912" s="6"/>
      <c r="Y912" s="95" t="e">
        <f t="shared" si="29"/>
        <v>#VALUE!</v>
      </c>
      <c r="Z912" s="6"/>
      <c r="AA912" s="6"/>
    </row>
    <row r="913" spans="1:27" ht="28.95" customHeight="1" x14ac:dyDescent="0.3">
      <c r="A913" s="91"/>
      <c r="B913" s="91"/>
      <c r="C913" s="80"/>
      <c r="D913" s="91"/>
      <c r="E913" s="80"/>
      <c r="F913" s="6"/>
      <c r="G913" s="6"/>
      <c r="H913" s="25"/>
      <c r="I913" s="133"/>
      <c r="J913" s="6"/>
      <c r="K913" s="6"/>
      <c r="L913" s="6"/>
      <c r="M913" s="6"/>
      <c r="N913" s="84"/>
      <c r="O913" s="80" t="str">
        <f>IF(N913="","",VLOOKUP(N913,ROLES!B:C,2,FALSE))</f>
        <v/>
      </c>
      <c r="P913" s="6"/>
      <c r="Q913" s="6"/>
      <c r="R913" s="16">
        <f t="shared" si="30"/>
        <v>0</v>
      </c>
      <c r="S913" s="16"/>
      <c r="T913" s="80" t="str">
        <f>IF(S913="","",VLOOKUP(S913,VALORACION!F:G,2,FALSE))</f>
        <v/>
      </c>
      <c r="U913" s="11"/>
      <c r="V913" s="80" t="str">
        <f>IF(U913="","",VLOOKUP(U913,ROLES!G:H,2,FALSE))</f>
        <v/>
      </c>
      <c r="W913" s="6"/>
      <c r="X913" s="6"/>
      <c r="Y913" s="95" t="e">
        <f t="shared" si="29"/>
        <v>#VALUE!</v>
      </c>
      <c r="Z913" s="6"/>
      <c r="AA913" s="6"/>
    </row>
    <row r="914" spans="1:27" ht="28.95" customHeight="1" x14ac:dyDescent="0.3">
      <c r="A914" s="91"/>
      <c r="B914" s="91"/>
      <c r="C914" s="80"/>
      <c r="D914" s="91"/>
      <c r="E914" s="80"/>
      <c r="F914" s="6"/>
      <c r="G914" s="6"/>
      <c r="H914" s="25"/>
      <c r="I914" s="133"/>
      <c r="J914" s="6"/>
      <c r="K914" s="6"/>
      <c r="L914" s="6"/>
      <c r="M914" s="6"/>
      <c r="N914" s="84"/>
      <c r="O914" s="80" t="str">
        <f>IF(N914="","",VLOOKUP(N914,ROLES!B:C,2,FALSE))</f>
        <v/>
      </c>
      <c r="P914" s="6"/>
      <c r="Q914" s="6"/>
      <c r="R914" s="16">
        <f t="shared" si="30"/>
        <v>0</v>
      </c>
      <c r="S914" s="16"/>
      <c r="T914" s="80" t="str">
        <f>IF(S914="","",VLOOKUP(S914,VALORACION!F:G,2,FALSE))</f>
        <v/>
      </c>
      <c r="U914" s="11"/>
      <c r="V914" s="80" t="str">
        <f>IF(U914="","",VLOOKUP(U914,ROLES!G:H,2,FALSE))</f>
        <v/>
      </c>
      <c r="W914" s="6"/>
      <c r="X914" s="6"/>
      <c r="Y914" s="95" t="e">
        <f t="shared" si="29"/>
        <v>#VALUE!</v>
      </c>
      <c r="Z914" s="6"/>
      <c r="AA914" s="6"/>
    </row>
    <row r="915" spans="1:27" ht="28.95" customHeight="1" x14ac:dyDescent="0.3">
      <c r="A915" s="91"/>
      <c r="B915" s="91"/>
      <c r="C915" s="80"/>
      <c r="D915" s="91"/>
      <c r="E915" s="80"/>
      <c r="F915" s="6"/>
      <c r="G915" s="6"/>
      <c r="H915" s="25"/>
      <c r="I915" s="133"/>
      <c r="J915" s="6"/>
      <c r="K915" s="6"/>
      <c r="L915" s="6"/>
      <c r="M915" s="6"/>
      <c r="N915" s="84"/>
      <c r="O915" s="80" t="str">
        <f>IF(N915="","",VLOOKUP(N915,ROLES!B:C,2,FALSE))</f>
        <v/>
      </c>
      <c r="P915" s="6"/>
      <c r="Q915" s="6"/>
      <c r="R915" s="16">
        <f t="shared" si="30"/>
        <v>0</v>
      </c>
      <c r="S915" s="16"/>
      <c r="T915" s="80" t="str">
        <f>IF(S915="","",VLOOKUP(S915,VALORACION!F:G,2,FALSE))</f>
        <v/>
      </c>
      <c r="U915" s="11"/>
      <c r="V915" s="80" t="str">
        <f>IF(U915="","",VLOOKUP(U915,ROLES!G:H,2,FALSE))</f>
        <v/>
      </c>
      <c r="W915" s="6"/>
      <c r="X915" s="6"/>
      <c r="Y915" s="95" t="e">
        <f t="shared" si="29"/>
        <v>#VALUE!</v>
      </c>
      <c r="Z915" s="6"/>
      <c r="AA915" s="6"/>
    </row>
    <row r="916" spans="1:27" ht="28.95" customHeight="1" x14ac:dyDescent="0.3">
      <c r="A916" s="91"/>
      <c r="B916" s="91"/>
      <c r="C916" s="80"/>
      <c r="D916" s="91"/>
      <c r="E916" s="80"/>
      <c r="F916" s="6"/>
      <c r="G916" s="6"/>
      <c r="H916" s="25"/>
      <c r="I916" s="133"/>
      <c r="J916" s="6"/>
      <c r="K916" s="6"/>
      <c r="L916" s="6"/>
      <c r="M916" s="6"/>
      <c r="N916" s="84"/>
      <c r="O916" s="80" t="str">
        <f>IF(N916="","",VLOOKUP(N916,ROLES!B:C,2,FALSE))</f>
        <v/>
      </c>
      <c r="P916" s="6"/>
      <c r="Q916" s="6"/>
      <c r="R916" s="16">
        <f t="shared" si="30"/>
        <v>0</v>
      </c>
      <c r="S916" s="16"/>
      <c r="T916" s="80" t="str">
        <f>IF(S916="","",VLOOKUP(S916,VALORACION!F:G,2,FALSE))</f>
        <v/>
      </c>
      <c r="U916" s="11"/>
      <c r="V916" s="80" t="str">
        <f>IF(U916="","",VLOOKUP(U916,ROLES!G:H,2,FALSE))</f>
        <v/>
      </c>
      <c r="W916" s="6"/>
      <c r="X916" s="6"/>
      <c r="Y916" s="95" t="e">
        <f t="shared" si="29"/>
        <v>#VALUE!</v>
      </c>
      <c r="Z916" s="6"/>
      <c r="AA916" s="6"/>
    </row>
    <row r="917" spans="1:27" ht="28.95" customHeight="1" x14ac:dyDescent="0.3">
      <c r="A917" s="91"/>
      <c r="B917" s="91"/>
      <c r="C917" s="80"/>
      <c r="D917" s="91"/>
      <c r="E917" s="80"/>
      <c r="F917" s="6"/>
      <c r="G917" s="6"/>
      <c r="H917" s="25"/>
      <c r="I917" s="133"/>
      <c r="J917" s="6"/>
      <c r="K917" s="6"/>
      <c r="L917" s="6"/>
      <c r="M917" s="6"/>
      <c r="N917" s="84"/>
      <c r="O917" s="80" t="str">
        <f>IF(N917="","",VLOOKUP(N917,ROLES!B:C,2,FALSE))</f>
        <v/>
      </c>
      <c r="P917" s="6"/>
      <c r="Q917" s="6"/>
      <c r="R917" s="16">
        <f t="shared" si="30"/>
        <v>0</v>
      </c>
      <c r="S917" s="16"/>
      <c r="T917" s="80" t="str">
        <f>IF(S917="","",VLOOKUP(S917,VALORACION!F:G,2,FALSE))</f>
        <v/>
      </c>
      <c r="U917" s="11"/>
      <c r="V917" s="80" t="str">
        <f>IF(U917="","",VLOOKUP(U917,ROLES!G:H,2,FALSE))</f>
        <v/>
      </c>
      <c r="W917" s="6"/>
      <c r="X917" s="6"/>
      <c r="Y917" s="95" t="e">
        <f t="shared" si="29"/>
        <v>#VALUE!</v>
      </c>
      <c r="Z917" s="6"/>
      <c r="AA917" s="6"/>
    </row>
    <row r="918" spans="1:27" ht="28.95" customHeight="1" x14ac:dyDescent="0.3">
      <c r="A918" s="91"/>
      <c r="B918" s="91"/>
      <c r="C918" s="80"/>
      <c r="D918" s="91"/>
      <c r="E918" s="80"/>
      <c r="F918" s="6"/>
      <c r="G918" s="6"/>
      <c r="H918" s="25"/>
      <c r="I918" s="133"/>
      <c r="J918" s="6"/>
      <c r="K918" s="6"/>
      <c r="L918" s="6"/>
      <c r="M918" s="6"/>
      <c r="N918" s="84"/>
      <c r="O918" s="80" t="str">
        <f>IF(N918="","",VLOOKUP(N918,ROLES!B:C,2,FALSE))</f>
        <v/>
      </c>
      <c r="P918" s="6"/>
      <c r="Q918" s="6"/>
      <c r="R918" s="16">
        <f t="shared" si="30"/>
        <v>0</v>
      </c>
      <c r="S918" s="16"/>
      <c r="T918" s="80" t="str">
        <f>IF(S918="","",VLOOKUP(S918,VALORACION!F:G,2,FALSE))</f>
        <v/>
      </c>
      <c r="U918" s="11"/>
      <c r="V918" s="80" t="str">
        <f>IF(U918="","",VLOOKUP(U918,ROLES!G:H,2,FALSE))</f>
        <v/>
      </c>
      <c r="W918" s="6"/>
      <c r="X918" s="6"/>
      <c r="Y918" s="95" t="e">
        <f t="shared" si="29"/>
        <v>#VALUE!</v>
      </c>
      <c r="Z918" s="6"/>
      <c r="AA918" s="6"/>
    </row>
    <row r="919" spans="1:27" ht="28.95" customHeight="1" x14ac:dyDescent="0.3">
      <c r="A919" s="91"/>
      <c r="B919" s="91"/>
      <c r="C919" s="80"/>
      <c r="D919" s="91"/>
      <c r="E919" s="80"/>
      <c r="F919" s="6"/>
      <c r="G919" s="6"/>
      <c r="H919" s="25"/>
      <c r="I919" s="133"/>
      <c r="J919" s="6"/>
      <c r="K919" s="6"/>
      <c r="L919" s="6"/>
      <c r="M919" s="6"/>
      <c r="N919" s="84"/>
      <c r="O919" s="80" t="str">
        <f>IF(N919="","",VLOOKUP(N919,ROLES!B:C,2,FALSE))</f>
        <v/>
      </c>
      <c r="P919" s="6"/>
      <c r="Q919" s="6"/>
      <c r="R919" s="16">
        <f t="shared" si="30"/>
        <v>0</v>
      </c>
      <c r="S919" s="16"/>
      <c r="T919" s="80" t="str">
        <f>IF(S919="","",VLOOKUP(S919,VALORACION!F:G,2,FALSE))</f>
        <v/>
      </c>
      <c r="U919" s="11"/>
      <c r="V919" s="80" t="str">
        <f>IF(U919="","",VLOOKUP(U919,ROLES!G:H,2,FALSE))</f>
        <v/>
      </c>
      <c r="W919" s="6"/>
      <c r="X919" s="6"/>
      <c r="Y919" s="95" t="e">
        <f t="shared" si="29"/>
        <v>#VALUE!</v>
      </c>
      <c r="Z919" s="6"/>
      <c r="AA919" s="6"/>
    </row>
    <row r="920" spans="1:27" ht="28.95" customHeight="1" x14ac:dyDescent="0.3">
      <c r="A920" s="91"/>
      <c r="B920" s="91"/>
      <c r="C920" s="80"/>
      <c r="D920" s="91"/>
      <c r="E920" s="80"/>
      <c r="F920" s="6"/>
      <c r="G920" s="6"/>
      <c r="H920" s="25"/>
      <c r="I920" s="133"/>
      <c r="J920" s="6"/>
      <c r="K920" s="6"/>
      <c r="L920" s="6"/>
      <c r="M920" s="6"/>
      <c r="N920" s="84"/>
      <c r="O920" s="80" t="str">
        <f>IF(N920="","",VLOOKUP(N920,ROLES!B:C,2,FALSE))</f>
        <v/>
      </c>
      <c r="P920" s="6"/>
      <c r="Q920" s="6"/>
      <c r="R920" s="16">
        <f t="shared" si="30"/>
        <v>0</v>
      </c>
      <c r="S920" s="16"/>
      <c r="T920" s="80" t="str">
        <f>IF(S920="","",VLOOKUP(S920,VALORACION!F:G,2,FALSE))</f>
        <v/>
      </c>
      <c r="U920" s="11"/>
      <c r="V920" s="80" t="str">
        <f>IF(U920="","",VLOOKUP(U920,ROLES!G:H,2,FALSE))</f>
        <v/>
      </c>
      <c r="W920" s="6"/>
      <c r="X920" s="6"/>
      <c r="Y920" s="95" t="e">
        <f t="shared" si="29"/>
        <v>#VALUE!</v>
      </c>
      <c r="Z920" s="6"/>
      <c r="AA920" s="6"/>
    </row>
    <row r="921" spans="1:27" ht="28.95" customHeight="1" x14ac:dyDescent="0.3">
      <c r="A921" s="91"/>
      <c r="B921" s="91"/>
      <c r="C921" s="80"/>
      <c r="D921" s="91"/>
      <c r="E921" s="80"/>
      <c r="F921" s="6"/>
      <c r="G921" s="6"/>
      <c r="H921" s="25"/>
      <c r="I921" s="133"/>
      <c r="J921" s="6"/>
      <c r="K921" s="6"/>
      <c r="L921" s="6"/>
      <c r="M921" s="6"/>
      <c r="N921" s="84"/>
      <c r="O921" s="80" t="str">
        <f>IF(N921="","",VLOOKUP(N921,ROLES!B:C,2,FALSE))</f>
        <v/>
      </c>
      <c r="P921" s="6"/>
      <c r="Q921" s="6"/>
      <c r="R921" s="16">
        <f t="shared" si="30"/>
        <v>0</v>
      </c>
      <c r="S921" s="16"/>
      <c r="T921" s="80" t="str">
        <f>IF(S921="","",VLOOKUP(S921,VALORACION!F:G,2,FALSE))</f>
        <v/>
      </c>
      <c r="U921" s="11"/>
      <c r="V921" s="80" t="str">
        <f>IF(U921="","",VLOOKUP(U921,ROLES!G:H,2,FALSE))</f>
        <v/>
      </c>
      <c r="W921" s="6"/>
      <c r="X921" s="6"/>
      <c r="Y921" s="95" t="e">
        <f t="shared" si="29"/>
        <v>#VALUE!</v>
      </c>
      <c r="Z921" s="6"/>
      <c r="AA921" s="6"/>
    </row>
    <row r="922" spans="1:27" ht="28.95" customHeight="1" x14ac:dyDescent="0.3">
      <c r="A922" s="91"/>
      <c r="B922" s="91"/>
      <c r="C922" s="80"/>
      <c r="D922" s="91"/>
      <c r="E922" s="80"/>
      <c r="F922" s="6"/>
      <c r="G922" s="6"/>
      <c r="H922" s="25"/>
      <c r="I922" s="133"/>
      <c r="J922" s="6"/>
      <c r="K922" s="6"/>
      <c r="L922" s="6"/>
      <c r="M922" s="6"/>
      <c r="N922" s="84"/>
      <c r="O922" s="80" t="str">
        <f>IF(N922="","",VLOOKUP(N922,ROLES!B:C,2,FALSE))</f>
        <v/>
      </c>
      <c r="P922" s="6"/>
      <c r="Q922" s="6"/>
      <c r="R922" s="16">
        <f t="shared" si="30"/>
        <v>0</v>
      </c>
      <c r="S922" s="16"/>
      <c r="T922" s="80" t="str">
        <f>IF(S922="","",VLOOKUP(S922,VALORACION!F:G,2,FALSE))</f>
        <v/>
      </c>
      <c r="U922" s="11"/>
      <c r="V922" s="80" t="str">
        <f>IF(U922="","",VLOOKUP(U922,ROLES!G:H,2,FALSE))</f>
        <v/>
      </c>
      <c r="W922" s="6"/>
      <c r="X922" s="6"/>
      <c r="Y922" s="95" t="e">
        <f t="shared" si="29"/>
        <v>#VALUE!</v>
      </c>
      <c r="Z922" s="6"/>
      <c r="AA922" s="6"/>
    </row>
    <row r="923" spans="1:27" ht="28.95" customHeight="1" x14ac:dyDescent="0.3">
      <c r="A923" s="91"/>
      <c r="B923" s="91"/>
      <c r="C923" s="80"/>
      <c r="D923" s="91"/>
      <c r="E923" s="80"/>
      <c r="F923" s="6"/>
      <c r="G923" s="6"/>
      <c r="H923" s="25"/>
      <c r="I923" s="133"/>
      <c r="J923" s="6"/>
      <c r="K923" s="6"/>
      <c r="L923" s="6"/>
      <c r="M923" s="6"/>
      <c r="N923" s="84"/>
      <c r="O923" s="80" t="str">
        <f>IF(N923="","",VLOOKUP(N923,ROLES!B:C,2,FALSE))</f>
        <v/>
      </c>
      <c r="P923" s="6"/>
      <c r="Q923" s="6"/>
      <c r="R923" s="16">
        <f t="shared" si="30"/>
        <v>0</v>
      </c>
      <c r="S923" s="16"/>
      <c r="T923" s="80" t="str">
        <f>IF(S923="","",VLOOKUP(S923,VALORACION!F:G,2,FALSE))</f>
        <v/>
      </c>
      <c r="U923" s="11"/>
      <c r="V923" s="80" t="str">
        <f>IF(U923="","",VLOOKUP(U923,ROLES!G:H,2,FALSE))</f>
        <v/>
      </c>
      <c r="W923" s="6"/>
      <c r="X923" s="6"/>
      <c r="Y923" s="95" t="e">
        <f t="shared" si="29"/>
        <v>#VALUE!</v>
      </c>
      <c r="Z923" s="6"/>
      <c r="AA923" s="6"/>
    </row>
    <row r="924" spans="1:27" ht="28.95" customHeight="1" x14ac:dyDescent="0.3">
      <c r="A924" s="91"/>
      <c r="B924" s="91"/>
      <c r="C924" s="80"/>
      <c r="D924" s="91"/>
      <c r="E924" s="80"/>
      <c r="F924" s="6"/>
      <c r="G924" s="6"/>
      <c r="H924" s="25"/>
      <c r="I924" s="133"/>
      <c r="J924" s="6"/>
      <c r="K924" s="6"/>
      <c r="L924" s="6"/>
      <c r="M924" s="6"/>
      <c r="N924" s="84"/>
      <c r="O924" s="80" t="str">
        <f>IF(N924="","",VLOOKUP(N924,ROLES!B:C,2,FALSE))</f>
        <v/>
      </c>
      <c r="P924" s="6"/>
      <c r="Q924" s="6"/>
      <c r="R924" s="16">
        <f t="shared" si="30"/>
        <v>0</v>
      </c>
      <c r="S924" s="16"/>
      <c r="T924" s="80" t="str">
        <f>IF(S924="","",VLOOKUP(S924,VALORACION!F:G,2,FALSE))</f>
        <v/>
      </c>
      <c r="U924" s="11"/>
      <c r="V924" s="80" t="str">
        <f>IF(U924="","",VLOOKUP(U924,ROLES!G:H,2,FALSE))</f>
        <v/>
      </c>
      <c r="W924" s="6"/>
      <c r="X924" s="6"/>
      <c r="Y924" s="95" t="e">
        <f t="shared" si="29"/>
        <v>#VALUE!</v>
      </c>
      <c r="Z924" s="6"/>
      <c r="AA924" s="6"/>
    </row>
    <row r="925" spans="1:27" ht="28.95" customHeight="1" x14ac:dyDescent="0.3">
      <c r="A925" s="91"/>
      <c r="B925" s="91"/>
      <c r="C925" s="80"/>
      <c r="D925" s="91"/>
      <c r="E925" s="80"/>
      <c r="F925" s="6"/>
      <c r="G925" s="6"/>
      <c r="H925" s="25"/>
      <c r="I925" s="133"/>
      <c r="J925" s="6"/>
      <c r="K925" s="6"/>
      <c r="L925" s="6"/>
      <c r="M925" s="6"/>
      <c r="N925" s="84"/>
      <c r="O925" s="80" t="str">
        <f>IF(N925="","",VLOOKUP(N925,ROLES!B:C,2,FALSE))</f>
        <v/>
      </c>
      <c r="P925" s="6"/>
      <c r="Q925" s="6"/>
      <c r="R925" s="16">
        <f t="shared" si="30"/>
        <v>0</v>
      </c>
      <c r="S925" s="16"/>
      <c r="T925" s="80" t="str">
        <f>IF(S925="","",VLOOKUP(S925,VALORACION!F:G,2,FALSE))</f>
        <v/>
      </c>
      <c r="U925" s="11"/>
      <c r="V925" s="80" t="str">
        <f>IF(U925="","",VLOOKUP(U925,ROLES!G:H,2,FALSE))</f>
        <v/>
      </c>
      <c r="W925" s="6"/>
      <c r="X925" s="6"/>
      <c r="Y925" s="95" t="e">
        <f t="shared" si="29"/>
        <v>#VALUE!</v>
      </c>
      <c r="Z925" s="6"/>
      <c r="AA925" s="6"/>
    </row>
    <row r="926" spans="1:27" ht="28.95" customHeight="1" x14ac:dyDescent="0.3">
      <c r="A926" s="91"/>
      <c r="B926" s="91"/>
      <c r="C926" s="80"/>
      <c r="D926" s="91"/>
      <c r="E926" s="80"/>
      <c r="F926" s="6"/>
      <c r="G926" s="6"/>
      <c r="H926" s="25"/>
      <c r="I926" s="133"/>
      <c r="J926" s="6"/>
      <c r="K926" s="6"/>
      <c r="L926" s="6"/>
      <c r="M926" s="6"/>
      <c r="N926" s="84"/>
      <c r="O926" s="80" t="str">
        <f>IF(N926="","",VLOOKUP(N926,ROLES!B:C,2,FALSE))</f>
        <v/>
      </c>
      <c r="P926" s="6"/>
      <c r="Q926" s="6"/>
      <c r="R926" s="16">
        <f t="shared" si="30"/>
        <v>0</v>
      </c>
      <c r="S926" s="16"/>
      <c r="T926" s="80" t="str">
        <f>IF(S926="","",VLOOKUP(S926,VALORACION!F:G,2,FALSE))</f>
        <v/>
      </c>
      <c r="U926" s="11"/>
      <c r="V926" s="80" t="str">
        <f>IF(U926="","",VLOOKUP(U926,ROLES!G:H,2,FALSE))</f>
        <v/>
      </c>
      <c r="W926" s="6"/>
      <c r="X926" s="6"/>
      <c r="Y926" s="95" t="e">
        <f t="shared" si="29"/>
        <v>#VALUE!</v>
      </c>
      <c r="Z926" s="6"/>
      <c r="AA926" s="6"/>
    </row>
    <row r="927" spans="1:27" ht="28.95" customHeight="1" x14ac:dyDescent="0.3">
      <c r="A927" s="91"/>
      <c r="B927" s="91"/>
      <c r="C927" s="80"/>
      <c r="D927" s="91"/>
      <c r="E927" s="80"/>
      <c r="F927" s="6"/>
      <c r="G927" s="6"/>
      <c r="H927" s="25"/>
      <c r="I927" s="133"/>
      <c r="J927" s="6"/>
      <c r="K927" s="6"/>
      <c r="L927" s="6"/>
      <c r="M927" s="6"/>
      <c r="N927" s="84"/>
      <c r="O927" s="80" t="str">
        <f>IF(N927="","",VLOOKUP(N927,ROLES!B:C,2,FALSE))</f>
        <v/>
      </c>
      <c r="P927" s="6"/>
      <c r="Q927" s="6"/>
      <c r="R927" s="16">
        <f t="shared" si="30"/>
        <v>0</v>
      </c>
      <c r="S927" s="16"/>
      <c r="T927" s="80" t="str">
        <f>IF(S927="","",VLOOKUP(S927,VALORACION!F:G,2,FALSE))</f>
        <v/>
      </c>
      <c r="U927" s="11"/>
      <c r="V927" s="80" t="str">
        <f>IF(U927="","",VLOOKUP(U927,ROLES!G:H,2,FALSE))</f>
        <v/>
      </c>
      <c r="W927" s="6"/>
      <c r="X927" s="6"/>
      <c r="Y927" s="95" t="e">
        <f t="shared" si="29"/>
        <v>#VALUE!</v>
      </c>
      <c r="Z927" s="6"/>
      <c r="AA927" s="6"/>
    </row>
    <row r="928" spans="1:27" ht="28.95" customHeight="1" x14ac:dyDescent="0.3">
      <c r="A928" s="91"/>
      <c r="B928" s="91"/>
      <c r="C928" s="80"/>
      <c r="D928" s="91"/>
      <c r="E928" s="80"/>
      <c r="F928" s="6"/>
      <c r="G928" s="6"/>
      <c r="H928" s="25"/>
      <c r="I928" s="133"/>
      <c r="J928" s="6"/>
      <c r="K928" s="6"/>
      <c r="L928" s="6"/>
      <c r="M928" s="6"/>
      <c r="N928" s="84"/>
      <c r="O928" s="80" t="str">
        <f>IF(N928="","",VLOOKUP(N928,ROLES!B:C,2,FALSE))</f>
        <v/>
      </c>
      <c r="P928" s="6"/>
      <c r="Q928" s="6"/>
      <c r="R928" s="16">
        <f t="shared" si="30"/>
        <v>0</v>
      </c>
      <c r="S928" s="16"/>
      <c r="T928" s="80" t="str">
        <f>IF(S928="","",VLOOKUP(S928,VALORACION!F:G,2,FALSE))</f>
        <v/>
      </c>
      <c r="U928" s="11"/>
      <c r="V928" s="80" t="str">
        <f>IF(U928="","",VLOOKUP(U928,ROLES!G:H,2,FALSE))</f>
        <v/>
      </c>
      <c r="W928" s="6"/>
      <c r="X928" s="6"/>
      <c r="Y928" s="95" t="e">
        <f t="shared" si="29"/>
        <v>#VALUE!</v>
      </c>
      <c r="Z928" s="6"/>
      <c r="AA928" s="6"/>
    </row>
    <row r="929" spans="1:27" ht="28.95" customHeight="1" x14ac:dyDescent="0.3">
      <c r="A929" s="91"/>
      <c r="B929" s="91"/>
      <c r="C929" s="80"/>
      <c r="D929" s="91"/>
      <c r="E929" s="80"/>
      <c r="F929" s="6"/>
      <c r="G929" s="6"/>
      <c r="H929" s="25"/>
      <c r="I929" s="133"/>
      <c r="J929" s="6"/>
      <c r="K929" s="6"/>
      <c r="L929" s="6"/>
      <c r="M929" s="6"/>
      <c r="N929" s="84"/>
      <c r="O929" s="80" t="str">
        <f>IF(N929="","",VLOOKUP(N929,ROLES!B:C,2,FALSE))</f>
        <v/>
      </c>
      <c r="P929" s="6"/>
      <c r="Q929" s="6"/>
      <c r="R929" s="16">
        <f t="shared" si="30"/>
        <v>0</v>
      </c>
      <c r="S929" s="16"/>
      <c r="T929" s="80" t="str">
        <f>IF(S929="","",VLOOKUP(S929,VALORACION!F:G,2,FALSE))</f>
        <v/>
      </c>
      <c r="U929" s="11"/>
      <c r="V929" s="80" t="str">
        <f>IF(U929="","",VLOOKUP(U929,ROLES!G:H,2,FALSE))</f>
        <v/>
      </c>
      <c r="W929" s="6"/>
      <c r="X929" s="6"/>
      <c r="Y929" s="95" t="e">
        <f t="shared" si="29"/>
        <v>#VALUE!</v>
      </c>
      <c r="Z929" s="6"/>
      <c r="AA929" s="6"/>
    </row>
    <row r="930" spans="1:27" ht="28.95" customHeight="1" x14ac:dyDescent="0.3">
      <c r="A930" s="91"/>
      <c r="B930" s="91"/>
      <c r="C930" s="80"/>
      <c r="D930" s="91"/>
      <c r="E930" s="80"/>
      <c r="F930" s="6"/>
      <c r="G930" s="6"/>
      <c r="H930" s="25"/>
      <c r="I930" s="133"/>
      <c r="J930" s="6"/>
      <c r="K930" s="6"/>
      <c r="L930" s="6"/>
      <c r="M930" s="6"/>
      <c r="N930" s="84"/>
      <c r="O930" s="80" t="str">
        <f>IF(N930="","",VLOOKUP(N930,ROLES!B:C,2,FALSE))</f>
        <v/>
      </c>
      <c r="P930" s="6"/>
      <c r="Q930" s="6"/>
      <c r="R930" s="16">
        <f t="shared" si="30"/>
        <v>0</v>
      </c>
      <c r="S930" s="16"/>
      <c r="T930" s="80" t="str">
        <f>IF(S930="","",VLOOKUP(S930,VALORACION!F:G,2,FALSE))</f>
        <v/>
      </c>
      <c r="U930" s="11"/>
      <c r="V930" s="80" t="str">
        <f>IF(U930="","",VLOOKUP(U930,ROLES!G:H,2,FALSE))</f>
        <v/>
      </c>
      <c r="W930" s="6"/>
      <c r="X930" s="6"/>
      <c r="Y930" s="95" t="e">
        <f t="shared" si="29"/>
        <v>#VALUE!</v>
      </c>
      <c r="Z930" s="6"/>
      <c r="AA930" s="6"/>
    </row>
    <row r="931" spans="1:27" ht="28.95" customHeight="1" x14ac:dyDescent="0.3">
      <c r="A931" s="91"/>
      <c r="B931" s="91"/>
      <c r="C931" s="80"/>
      <c r="D931" s="91"/>
      <c r="E931" s="80"/>
      <c r="F931" s="6"/>
      <c r="G931" s="6"/>
      <c r="H931" s="25"/>
      <c r="I931" s="133"/>
      <c r="J931" s="6"/>
      <c r="K931" s="6"/>
      <c r="L931" s="6"/>
      <c r="M931" s="6"/>
      <c r="N931" s="84"/>
      <c r="O931" s="80" t="str">
        <f>IF(N931="","",VLOOKUP(N931,ROLES!B:C,2,FALSE))</f>
        <v/>
      </c>
      <c r="P931" s="6"/>
      <c r="Q931" s="6"/>
      <c r="R931" s="16">
        <f t="shared" si="30"/>
        <v>0</v>
      </c>
      <c r="S931" s="16"/>
      <c r="T931" s="80" t="str">
        <f>IF(S931="","",VLOOKUP(S931,VALORACION!F:G,2,FALSE))</f>
        <v/>
      </c>
      <c r="U931" s="11"/>
      <c r="V931" s="80" t="str">
        <f>IF(U931="","",VLOOKUP(U931,ROLES!G:H,2,FALSE))</f>
        <v/>
      </c>
      <c r="W931" s="6"/>
      <c r="X931" s="6"/>
      <c r="Y931" s="95" t="e">
        <f t="shared" si="29"/>
        <v>#VALUE!</v>
      </c>
      <c r="Z931" s="6"/>
      <c r="AA931" s="6"/>
    </row>
    <row r="932" spans="1:27" ht="28.95" customHeight="1" x14ac:dyDescent="0.3">
      <c r="A932" s="91"/>
      <c r="B932" s="91"/>
      <c r="C932" s="80"/>
      <c r="D932" s="91"/>
      <c r="E932" s="80"/>
      <c r="F932" s="6"/>
      <c r="G932" s="6"/>
      <c r="H932" s="25"/>
      <c r="I932" s="133"/>
      <c r="J932" s="6"/>
      <c r="K932" s="6"/>
      <c r="L932" s="6"/>
      <c r="M932" s="6"/>
      <c r="N932" s="84"/>
      <c r="O932" s="80" t="str">
        <f>IF(N932="","",VLOOKUP(N932,ROLES!B:C,2,FALSE))</f>
        <v/>
      </c>
      <c r="P932" s="6"/>
      <c r="Q932" s="6"/>
      <c r="R932" s="16">
        <f t="shared" si="30"/>
        <v>0</v>
      </c>
      <c r="S932" s="16"/>
      <c r="T932" s="80" t="str">
        <f>IF(S932="","",VLOOKUP(S932,VALORACION!F:G,2,FALSE))</f>
        <v/>
      </c>
      <c r="U932" s="11"/>
      <c r="V932" s="80" t="str">
        <f>IF(U932="","",VLOOKUP(U932,ROLES!G:H,2,FALSE))</f>
        <v/>
      </c>
      <c r="W932" s="6"/>
      <c r="X932" s="6"/>
      <c r="Y932" s="95" t="e">
        <f t="shared" si="29"/>
        <v>#VALUE!</v>
      </c>
      <c r="Z932" s="6"/>
      <c r="AA932" s="6"/>
    </row>
    <row r="933" spans="1:27" ht="28.95" customHeight="1" x14ac:dyDescent="0.3">
      <c r="A933" s="91"/>
      <c r="B933" s="91"/>
      <c r="C933" s="80"/>
      <c r="D933" s="91"/>
      <c r="E933" s="80"/>
      <c r="F933" s="6"/>
      <c r="G933" s="6"/>
      <c r="H933" s="25"/>
      <c r="I933" s="133"/>
      <c r="J933" s="6"/>
      <c r="K933" s="6"/>
      <c r="L933" s="6"/>
      <c r="M933" s="6"/>
      <c r="N933" s="84"/>
      <c r="O933" s="80" t="str">
        <f>IF(N933="","",VLOOKUP(N933,ROLES!B:C,2,FALSE))</f>
        <v/>
      </c>
      <c r="P933" s="6"/>
      <c r="Q933" s="6"/>
      <c r="R933" s="16">
        <f t="shared" si="30"/>
        <v>0</v>
      </c>
      <c r="S933" s="16"/>
      <c r="T933" s="80" t="str">
        <f>IF(S933="","",VLOOKUP(S933,VALORACION!F:G,2,FALSE))</f>
        <v/>
      </c>
      <c r="U933" s="11"/>
      <c r="V933" s="80" t="str">
        <f>IF(U933="","",VLOOKUP(U933,ROLES!G:H,2,FALSE))</f>
        <v/>
      </c>
      <c r="W933" s="6"/>
      <c r="X933" s="6"/>
      <c r="Y933" s="95" t="e">
        <f t="shared" si="29"/>
        <v>#VALUE!</v>
      </c>
      <c r="Z933" s="6"/>
      <c r="AA933" s="6"/>
    </row>
    <row r="934" spans="1:27" ht="28.95" customHeight="1" x14ac:dyDescent="0.3">
      <c r="A934" s="91"/>
      <c r="B934" s="91"/>
      <c r="C934" s="80"/>
      <c r="D934" s="91"/>
      <c r="E934" s="80"/>
      <c r="F934" s="6"/>
      <c r="G934" s="6"/>
      <c r="H934" s="25"/>
      <c r="I934" s="133"/>
      <c r="J934" s="6"/>
      <c r="K934" s="6"/>
      <c r="L934" s="6"/>
      <c r="M934" s="6"/>
      <c r="N934" s="84"/>
      <c r="O934" s="80" t="str">
        <f>IF(N934="","",VLOOKUP(N934,ROLES!B:C,2,FALSE))</f>
        <v/>
      </c>
      <c r="P934" s="6"/>
      <c r="Q934" s="6"/>
      <c r="R934" s="16">
        <f t="shared" si="30"/>
        <v>0</v>
      </c>
      <c r="S934" s="16"/>
      <c r="T934" s="80" t="str">
        <f>IF(S934="","",VLOOKUP(S934,VALORACION!F:G,2,FALSE))</f>
        <v/>
      </c>
      <c r="U934" s="11"/>
      <c r="V934" s="80" t="str">
        <f>IF(U934="","",VLOOKUP(U934,ROLES!G:H,2,FALSE))</f>
        <v/>
      </c>
      <c r="W934" s="6"/>
      <c r="X934" s="6"/>
      <c r="Y934" s="95" t="e">
        <f t="shared" si="29"/>
        <v>#VALUE!</v>
      </c>
      <c r="Z934" s="6"/>
      <c r="AA934" s="6"/>
    </row>
    <row r="935" spans="1:27" ht="28.95" customHeight="1" x14ac:dyDescent="0.3">
      <c r="A935" s="91"/>
      <c r="B935" s="91"/>
      <c r="C935" s="80"/>
      <c r="D935" s="91"/>
      <c r="E935" s="80"/>
      <c r="F935" s="6"/>
      <c r="G935" s="6"/>
      <c r="H935" s="25"/>
      <c r="I935" s="133"/>
      <c r="J935" s="6"/>
      <c r="K935" s="6"/>
      <c r="L935" s="6"/>
      <c r="M935" s="6"/>
      <c r="N935" s="84"/>
      <c r="O935" s="80" t="str">
        <f>IF(N935="","",VLOOKUP(N935,ROLES!B:C,2,FALSE))</f>
        <v/>
      </c>
      <c r="P935" s="6"/>
      <c r="Q935" s="6"/>
      <c r="R935" s="16">
        <f t="shared" si="30"/>
        <v>0</v>
      </c>
      <c r="S935" s="16"/>
      <c r="T935" s="80" t="str">
        <f>IF(S935="","",VLOOKUP(S935,VALORACION!F:G,2,FALSE))</f>
        <v/>
      </c>
      <c r="U935" s="11"/>
      <c r="V935" s="80" t="str">
        <f>IF(U935="","",VLOOKUP(U935,ROLES!G:H,2,FALSE))</f>
        <v/>
      </c>
      <c r="W935" s="6"/>
      <c r="X935" s="6"/>
      <c r="Y935" s="95" t="e">
        <f t="shared" si="29"/>
        <v>#VALUE!</v>
      </c>
      <c r="Z935" s="6"/>
      <c r="AA935" s="6"/>
    </row>
    <row r="936" spans="1:27" ht="28.95" customHeight="1" x14ac:dyDescent="0.3">
      <c r="A936" s="91"/>
      <c r="B936" s="91"/>
      <c r="C936" s="80"/>
      <c r="D936" s="91"/>
      <c r="E936" s="80"/>
      <c r="F936" s="6"/>
      <c r="G936" s="6"/>
      <c r="H936" s="25"/>
      <c r="I936" s="133"/>
      <c r="J936" s="6"/>
      <c r="K936" s="6"/>
      <c r="L936" s="6"/>
      <c r="M936" s="6"/>
      <c r="N936" s="84"/>
      <c r="O936" s="80" t="str">
        <f>IF(N936="","",VLOOKUP(N936,ROLES!B:C,2,FALSE))</f>
        <v/>
      </c>
      <c r="P936" s="6"/>
      <c r="Q936" s="6"/>
      <c r="R936" s="16">
        <f t="shared" si="30"/>
        <v>0</v>
      </c>
      <c r="S936" s="16"/>
      <c r="T936" s="80" t="str">
        <f>IF(S936="","",VLOOKUP(S936,VALORACION!F:G,2,FALSE))</f>
        <v/>
      </c>
      <c r="U936" s="11"/>
      <c r="V936" s="80" t="str">
        <f>IF(U936="","",VLOOKUP(U936,ROLES!G:H,2,FALSE))</f>
        <v/>
      </c>
      <c r="W936" s="6"/>
      <c r="X936" s="6"/>
      <c r="Y936" s="95" t="e">
        <f t="shared" si="29"/>
        <v>#VALUE!</v>
      </c>
      <c r="Z936" s="6"/>
      <c r="AA936" s="6"/>
    </row>
    <row r="937" spans="1:27" ht="28.95" customHeight="1" x14ac:dyDescent="0.3">
      <c r="A937" s="91"/>
      <c r="B937" s="91"/>
      <c r="C937" s="80"/>
      <c r="D937" s="91"/>
      <c r="E937" s="80"/>
      <c r="F937" s="6"/>
      <c r="G937" s="6"/>
      <c r="H937" s="25"/>
      <c r="I937" s="133"/>
      <c r="J937" s="6"/>
      <c r="K937" s="6"/>
      <c r="L937" s="6"/>
      <c r="M937" s="6"/>
      <c r="N937" s="84"/>
      <c r="O937" s="80" t="str">
        <f>IF(N937="","",VLOOKUP(N937,ROLES!B:C,2,FALSE))</f>
        <v/>
      </c>
      <c r="P937" s="6"/>
      <c r="Q937" s="6"/>
      <c r="R937" s="16">
        <f t="shared" si="30"/>
        <v>0</v>
      </c>
      <c r="S937" s="16"/>
      <c r="T937" s="80" t="str">
        <f>IF(S937="","",VLOOKUP(S937,VALORACION!F:G,2,FALSE))</f>
        <v/>
      </c>
      <c r="U937" s="11"/>
      <c r="V937" s="80" t="str">
        <f>IF(U937="","",VLOOKUP(U937,ROLES!G:H,2,FALSE))</f>
        <v/>
      </c>
      <c r="W937" s="6"/>
      <c r="X937" s="6"/>
      <c r="Y937" s="95" t="e">
        <f t="shared" si="29"/>
        <v>#VALUE!</v>
      </c>
      <c r="Z937" s="6"/>
      <c r="AA937" s="6"/>
    </row>
    <row r="938" spans="1:27" ht="28.95" customHeight="1" x14ac:dyDescent="0.3">
      <c r="A938" s="91"/>
      <c r="B938" s="91"/>
      <c r="C938" s="80"/>
      <c r="D938" s="91"/>
      <c r="E938" s="80"/>
      <c r="F938" s="6"/>
      <c r="G938" s="6"/>
      <c r="H938" s="25"/>
      <c r="I938" s="133"/>
      <c r="J938" s="6"/>
      <c r="K938" s="6"/>
      <c r="L938" s="6"/>
      <c r="M938" s="6"/>
      <c r="N938" s="84"/>
      <c r="O938" s="80" t="str">
        <f>IF(N938="","",VLOOKUP(N938,ROLES!B:C,2,FALSE))</f>
        <v/>
      </c>
      <c r="P938" s="6"/>
      <c r="Q938" s="6"/>
      <c r="R938" s="16">
        <f t="shared" si="30"/>
        <v>0</v>
      </c>
      <c r="S938" s="16"/>
      <c r="T938" s="80" t="str">
        <f>IF(S938="","",VLOOKUP(S938,VALORACION!F:G,2,FALSE))</f>
        <v/>
      </c>
      <c r="U938" s="11"/>
      <c r="V938" s="80" t="str">
        <f>IF(U938="","",VLOOKUP(U938,ROLES!G:H,2,FALSE))</f>
        <v/>
      </c>
      <c r="W938" s="6"/>
      <c r="X938" s="6"/>
      <c r="Y938" s="95" t="e">
        <f t="shared" si="29"/>
        <v>#VALUE!</v>
      </c>
      <c r="Z938" s="6"/>
      <c r="AA938" s="6"/>
    </row>
    <row r="939" spans="1:27" ht="28.95" customHeight="1" x14ac:dyDescent="0.3">
      <c r="A939" s="91"/>
      <c r="B939" s="91"/>
      <c r="C939" s="80"/>
      <c r="D939" s="91"/>
      <c r="E939" s="80"/>
      <c r="F939" s="6"/>
      <c r="G939" s="6"/>
      <c r="H939" s="25"/>
      <c r="I939" s="133"/>
      <c r="J939" s="6"/>
      <c r="K939" s="6"/>
      <c r="L939" s="6"/>
      <c r="M939" s="6"/>
      <c r="N939" s="84"/>
      <c r="O939" s="80" t="str">
        <f>IF(N939="","",VLOOKUP(N939,ROLES!B:C,2,FALSE))</f>
        <v/>
      </c>
      <c r="P939" s="6"/>
      <c r="Q939" s="6"/>
      <c r="R939" s="16">
        <f t="shared" si="30"/>
        <v>0</v>
      </c>
      <c r="S939" s="16"/>
      <c r="T939" s="80" t="str">
        <f>IF(S939="","",VLOOKUP(S939,VALORACION!F:G,2,FALSE))</f>
        <v/>
      </c>
      <c r="U939" s="11"/>
      <c r="V939" s="80" t="str">
        <f>IF(U939="","",VLOOKUP(U939,ROLES!G:H,2,FALSE))</f>
        <v/>
      </c>
      <c r="W939" s="6"/>
      <c r="X939" s="6"/>
      <c r="Y939" s="95" t="e">
        <f t="shared" si="29"/>
        <v>#VALUE!</v>
      </c>
      <c r="Z939" s="6"/>
      <c r="AA939" s="6"/>
    </row>
    <row r="940" spans="1:27" ht="28.95" customHeight="1" x14ac:dyDescent="0.3">
      <c r="A940" s="91"/>
      <c r="B940" s="91"/>
      <c r="C940" s="80"/>
      <c r="D940" s="91"/>
      <c r="E940" s="80"/>
      <c r="F940" s="6"/>
      <c r="G940" s="6"/>
      <c r="H940" s="25"/>
      <c r="I940" s="133"/>
      <c r="J940" s="6"/>
      <c r="K940" s="6"/>
      <c r="L940" s="6"/>
      <c r="M940" s="6"/>
      <c r="N940" s="84"/>
      <c r="O940" s="80" t="str">
        <f>IF(N940="","",VLOOKUP(N940,ROLES!B:C,2,FALSE))</f>
        <v/>
      </c>
      <c r="P940" s="6"/>
      <c r="Q940" s="6"/>
      <c r="R940" s="16">
        <f t="shared" si="30"/>
        <v>0</v>
      </c>
      <c r="S940" s="16"/>
      <c r="T940" s="80" t="str">
        <f>IF(S940="","",VLOOKUP(S940,VALORACION!F:G,2,FALSE))</f>
        <v/>
      </c>
      <c r="U940" s="11"/>
      <c r="V940" s="80" t="str">
        <f>IF(U940="","",VLOOKUP(U940,ROLES!G:H,2,FALSE))</f>
        <v/>
      </c>
      <c r="W940" s="6"/>
      <c r="X940" s="6"/>
      <c r="Y940" s="95" t="e">
        <f t="shared" si="29"/>
        <v>#VALUE!</v>
      </c>
      <c r="Z940" s="6"/>
      <c r="AA940" s="6"/>
    </row>
    <row r="941" spans="1:27" ht="28.95" customHeight="1" x14ac:dyDescent="0.3">
      <c r="A941" s="91"/>
      <c r="B941" s="91"/>
      <c r="C941" s="80"/>
      <c r="D941" s="91"/>
      <c r="E941" s="80"/>
      <c r="F941" s="6"/>
      <c r="G941" s="6"/>
      <c r="H941" s="25"/>
      <c r="I941" s="133"/>
      <c r="J941" s="6"/>
      <c r="K941" s="6"/>
      <c r="L941" s="6"/>
      <c r="M941" s="6"/>
      <c r="N941" s="84"/>
      <c r="O941" s="80" t="str">
        <f>IF(N941="","",VLOOKUP(N941,ROLES!B:C,2,FALSE))</f>
        <v/>
      </c>
      <c r="P941" s="6"/>
      <c r="Q941" s="6"/>
      <c r="R941" s="16">
        <f t="shared" si="30"/>
        <v>0</v>
      </c>
      <c r="S941" s="16"/>
      <c r="T941" s="80" t="str">
        <f>IF(S941="","",VLOOKUP(S941,VALORACION!F:G,2,FALSE))</f>
        <v/>
      </c>
      <c r="U941" s="11"/>
      <c r="V941" s="80" t="str">
        <f>IF(U941="","",VLOOKUP(U941,ROLES!G:H,2,FALSE))</f>
        <v/>
      </c>
      <c r="W941" s="6"/>
      <c r="X941" s="6"/>
      <c r="Y941" s="95" t="e">
        <f t="shared" si="29"/>
        <v>#VALUE!</v>
      </c>
      <c r="Z941" s="6"/>
      <c r="AA941" s="6"/>
    </row>
    <row r="942" spans="1:27" ht="28.95" customHeight="1" x14ac:dyDescent="0.3">
      <c r="A942" s="91"/>
      <c r="B942" s="91"/>
      <c r="C942" s="80"/>
      <c r="D942" s="91"/>
      <c r="E942" s="80"/>
      <c r="F942" s="6"/>
      <c r="G942" s="6"/>
      <c r="H942" s="25"/>
      <c r="I942" s="133"/>
      <c r="J942" s="6"/>
      <c r="K942" s="6"/>
      <c r="L942" s="6"/>
      <c r="M942" s="6"/>
      <c r="N942" s="84"/>
      <c r="O942" s="80" t="str">
        <f>IF(N942="","",VLOOKUP(N942,ROLES!B:C,2,FALSE))</f>
        <v/>
      </c>
      <c r="P942" s="6"/>
      <c r="Q942" s="6"/>
      <c r="R942" s="16">
        <f t="shared" si="30"/>
        <v>0</v>
      </c>
      <c r="S942" s="16"/>
      <c r="T942" s="80" t="str">
        <f>IF(S942="","",VLOOKUP(S942,VALORACION!F:G,2,FALSE))</f>
        <v/>
      </c>
      <c r="U942" s="11"/>
      <c r="V942" s="80" t="str">
        <f>IF(U942="","",VLOOKUP(U942,ROLES!G:H,2,FALSE))</f>
        <v/>
      </c>
      <c r="W942" s="6"/>
      <c r="X942" s="6"/>
      <c r="Y942" s="95" t="e">
        <f t="shared" si="29"/>
        <v>#VALUE!</v>
      </c>
      <c r="Z942" s="6"/>
      <c r="AA942" s="6"/>
    </row>
    <row r="943" spans="1:27" ht="28.95" customHeight="1" x14ac:dyDescent="0.3">
      <c r="A943" s="91"/>
      <c r="B943" s="91"/>
      <c r="C943" s="80"/>
      <c r="D943" s="91"/>
      <c r="E943" s="80"/>
      <c r="F943" s="6"/>
      <c r="G943" s="6"/>
      <c r="H943" s="25"/>
      <c r="I943" s="133"/>
      <c r="J943" s="6"/>
      <c r="K943" s="6"/>
      <c r="L943" s="6"/>
      <c r="M943" s="6"/>
      <c r="N943" s="84"/>
      <c r="O943" s="80" t="str">
        <f>IF(N943="","",VLOOKUP(N943,ROLES!B:C,2,FALSE))</f>
        <v/>
      </c>
      <c r="P943" s="6"/>
      <c r="Q943" s="6"/>
      <c r="R943" s="16">
        <f t="shared" si="30"/>
        <v>0</v>
      </c>
      <c r="S943" s="16"/>
      <c r="T943" s="80" t="str">
        <f>IF(S943="","",VLOOKUP(S943,VALORACION!F:G,2,FALSE))</f>
        <v/>
      </c>
      <c r="U943" s="11"/>
      <c r="V943" s="80" t="str">
        <f>IF(U943="","",VLOOKUP(U943,ROLES!G:H,2,FALSE))</f>
        <v/>
      </c>
      <c r="W943" s="6"/>
      <c r="X943" s="6"/>
      <c r="Y943" s="95" t="e">
        <f t="shared" si="29"/>
        <v>#VALUE!</v>
      </c>
      <c r="Z943" s="6"/>
      <c r="AA943" s="6"/>
    </row>
    <row r="944" spans="1:27" ht="28.95" customHeight="1" x14ac:dyDescent="0.3">
      <c r="A944" s="91"/>
      <c r="B944" s="91"/>
      <c r="C944" s="80"/>
      <c r="D944" s="91"/>
      <c r="E944" s="80"/>
      <c r="F944" s="6"/>
      <c r="G944" s="6"/>
      <c r="H944" s="25"/>
      <c r="I944" s="133"/>
      <c r="J944" s="6"/>
      <c r="K944" s="6"/>
      <c r="L944" s="6"/>
      <c r="M944" s="6"/>
      <c r="N944" s="84"/>
      <c r="O944" s="80" t="str">
        <f>IF(N944="","",VLOOKUP(N944,ROLES!B:C,2,FALSE))</f>
        <v/>
      </c>
      <c r="P944" s="6"/>
      <c r="Q944" s="6"/>
      <c r="R944" s="16">
        <f t="shared" si="30"/>
        <v>0</v>
      </c>
      <c r="S944" s="16"/>
      <c r="T944" s="80" t="str">
        <f>IF(S944="","",VLOOKUP(S944,VALORACION!F:G,2,FALSE))</f>
        <v/>
      </c>
      <c r="U944" s="11"/>
      <c r="V944" s="80" t="str">
        <f>IF(U944="","",VLOOKUP(U944,ROLES!G:H,2,FALSE))</f>
        <v/>
      </c>
      <c r="W944" s="6"/>
      <c r="X944" s="6"/>
      <c r="Y944" s="95" t="e">
        <f t="shared" si="29"/>
        <v>#VALUE!</v>
      </c>
      <c r="Z944" s="6"/>
      <c r="AA944" s="6"/>
    </row>
    <row r="945" spans="1:27" ht="28.95" customHeight="1" x14ac:dyDescent="0.3">
      <c r="A945" s="91"/>
      <c r="B945" s="91"/>
      <c r="C945" s="80"/>
      <c r="D945" s="91"/>
      <c r="E945" s="80"/>
      <c r="F945" s="6"/>
      <c r="G945" s="6"/>
      <c r="H945" s="25"/>
      <c r="I945" s="133"/>
      <c r="J945" s="6"/>
      <c r="K945" s="6"/>
      <c r="L945" s="6"/>
      <c r="M945" s="6"/>
      <c r="N945" s="84"/>
      <c r="O945" s="80" t="str">
        <f>IF(N945="","",VLOOKUP(N945,ROLES!B:C,2,FALSE))</f>
        <v/>
      </c>
      <c r="P945" s="6"/>
      <c r="Q945" s="6"/>
      <c r="R945" s="16">
        <f t="shared" si="30"/>
        <v>0</v>
      </c>
      <c r="S945" s="16"/>
      <c r="T945" s="80" t="str">
        <f>IF(S945="","",VLOOKUP(S945,VALORACION!F:G,2,FALSE))</f>
        <v/>
      </c>
      <c r="U945" s="11"/>
      <c r="V945" s="80" t="str">
        <f>IF(U945="","",VLOOKUP(U945,ROLES!G:H,2,FALSE))</f>
        <v/>
      </c>
      <c r="W945" s="6"/>
      <c r="X945" s="6"/>
      <c r="Y945" s="95" t="e">
        <f t="shared" si="29"/>
        <v>#VALUE!</v>
      </c>
      <c r="Z945" s="6"/>
      <c r="AA945" s="6"/>
    </row>
    <row r="946" spans="1:27" ht="28.95" customHeight="1" x14ac:dyDescent="0.3">
      <c r="A946" s="91"/>
      <c r="B946" s="91"/>
      <c r="C946" s="80"/>
      <c r="D946" s="91"/>
      <c r="E946" s="80"/>
      <c r="F946" s="6"/>
      <c r="G946" s="6"/>
      <c r="H946" s="25"/>
      <c r="I946" s="133"/>
      <c r="J946" s="6"/>
      <c r="K946" s="6"/>
      <c r="L946" s="6"/>
      <c r="M946" s="6"/>
      <c r="N946" s="84"/>
      <c r="O946" s="80" t="str">
        <f>IF(N946="","",VLOOKUP(N946,ROLES!B:C,2,FALSE))</f>
        <v/>
      </c>
      <c r="P946" s="6"/>
      <c r="Q946" s="6"/>
      <c r="R946" s="16">
        <f t="shared" si="30"/>
        <v>0</v>
      </c>
      <c r="S946" s="16"/>
      <c r="T946" s="80" t="str">
        <f>IF(S946="","",VLOOKUP(S946,VALORACION!F:G,2,FALSE))</f>
        <v/>
      </c>
      <c r="U946" s="11"/>
      <c r="V946" s="80" t="str">
        <f>IF(U946="","",VLOOKUP(U946,ROLES!G:H,2,FALSE))</f>
        <v/>
      </c>
      <c r="W946" s="6"/>
      <c r="X946" s="6"/>
      <c r="Y946" s="95" t="e">
        <f t="shared" si="29"/>
        <v>#VALUE!</v>
      </c>
      <c r="Z946" s="6"/>
      <c r="AA946" s="6"/>
    </row>
    <row r="947" spans="1:27" ht="28.95" customHeight="1" x14ac:dyDescent="0.3">
      <c r="A947" s="91"/>
      <c r="B947" s="91"/>
      <c r="C947" s="80"/>
      <c r="D947" s="91"/>
      <c r="E947" s="80"/>
      <c r="F947" s="6"/>
      <c r="G947" s="6"/>
      <c r="H947" s="25"/>
      <c r="I947" s="133"/>
      <c r="J947" s="6"/>
      <c r="K947" s="6"/>
      <c r="L947" s="6"/>
      <c r="M947" s="6"/>
      <c r="N947" s="84"/>
      <c r="O947" s="80" t="str">
        <f>IF(N947="","",VLOOKUP(N947,ROLES!B:C,2,FALSE))</f>
        <v/>
      </c>
      <c r="P947" s="6"/>
      <c r="Q947" s="6"/>
      <c r="R947" s="16">
        <f t="shared" si="30"/>
        <v>0</v>
      </c>
      <c r="S947" s="16"/>
      <c r="T947" s="80" t="str">
        <f>IF(S947="","",VLOOKUP(S947,VALORACION!F:G,2,FALSE))</f>
        <v/>
      </c>
      <c r="U947" s="11"/>
      <c r="V947" s="80" t="str">
        <f>IF(U947="","",VLOOKUP(U947,ROLES!G:H,2,FALSE))</f>
        <v/>
      </c>
      <c r="W947" s="6"/>
      <c r="X947" s="6"/>
      <c r="Y947" s="95" t="e">
        <f t="shared" si="29"/>
        <v>#VALUE!</v>
      </c>
      <c r="Z947" s="6"/>
      <c r="AA947" s="6"/>
    </row>
    <row r="948" spans="1:27" ht="28.95" customHeight="1" x14ac:dyDescent="0.3">
      <c r="A948" s="91"/>
      <c r="B948" s="91"/>
      <c r="C948" s="80"/>
      <c r="D948" s="91"/>
      <c r="E948" s="80"/>
      <c r="F948" s="6"/>
      <c r="G948" s="6"/>
      <c r="H948" s="25"/>
      <c r="I948" s="133"/>
      <c r="J948" s="6"/>
      <c r="K948" s="6"/>
      <c r="L948" s="6"/>
      <c r="M948" s="6"/>
      <c r="N948" s="84"/>
      <c r="O948" s="80" t="str">
        <f>IF(N948="","",VLOOKUP(N948,ROLES!B:C,2,FALSE))</f>
        <v/>
      </c>
      <c r="P948" s="6"/>
      <c r="Q948" s="6"/>
      <c r="R948" s="16">
        <f t="shared" si="30"/>
        <v>0</v>
      </c>
      <c r="S948" s="16"/>
      <c r="T948" s="80" t="str">
        <f>IF(S948="","",VLOOKUP(S948,VALORACION!F:G,2,FALSE))</f>
        <v/>
      </c>
      <c r="U948" s="11"/>
      <c r="V948" s="80" t="str">
        <f>IF(U948="","",VLOOKUP(U948,ROLES!G:H,2,FALSE))</f>
        <v/>
      </c>
      <c r="W948" s="6"/>
      <c r="X948" s="6"/>
      <c r="Y948" s="95" t="e">
        <f t="shared" si="29"/>
        <v>#VALUE!</v>
      </c>
      <c r="Z948" s="6"/>
      <c r="AA948" s="6"/>
    </row>
    <row r="949" spans="1:27" ht="28.95" customHeight="1" x14ac:dyDescent="0.3">
      <c r="A949" s="91"/>
      <c r="B949" s="91"/>
      <c r="C949" s="80"/>
      <c r="D949" s="91"/>
      <c r="E949" s="80"/>
      <c r="F949" s="6"/>
      <c r="G949" s="6"/>
      <c r="H949" s="25"/>
      <c r="I949" s="133"/>
      <c r="J949" s="6"/>
      <c r="K949" s="6"/>
      <c r="L949" s="6"/>
      <c r="M949" s="6"/>
      <c r="N949" s="84"/>
      <c r="O949" s="80" t="str">
        <f>IF(N949="","",VLOOKUP(N949,ROLES!B:C,2,FALSE))</f>
        <v/>
      </c>
      <c r="P949" s="6"/>
      <c r="Q949" s="6"/>
      <c r="R949" s="16">
        <f t="shared" si="30"/>
        <v>0</v>
      </c>
      <c r="S949" s="16"/>
      <c r="T949" s="80" t="str">
        <f>IF(S949="","",VLOOKUP(S949,VALORACION!F:G,2,FALSE))</f>
        <v/>
      </c>
      <c r="U949" s="11"/>
      <c r="V949" s="80" t="str">
        <f>IF(U949="","",VLOOKUP(U949,ROLES!G:H,2,FALSE))</f>
        <v/>
      </c>
      <c r="W949" s="6"/>
      <c r="X949" s="6"/>
      <c r="Y949" s="95" t="e">
        <f t="shared" si="29"/>
        <v>#VALUE!</v>
      </c>
      <c r="Z949" s="6"/>
      <c r="AA949" s="6"/>
    </row>
    <row r="950" spans="1:27" ht="28.95" customHeight="1" x14ac:dyDescent="0.3">
      <c r="A950" s="91"/>
      <c r="B950" s="91"/>
      <c r="C950" s="80"/>
      <c r="D950" s="91"/>
      <c r="E950" s="80"/>
      <c r="F950" s="6"/>
      <c r="G950" s="6"/>
      <c r="H950" s="25"/>
      <c r="I950" s="133"/>
      <c r="J950" s="6"/>
      <c r="K950" s="6"/>
      <c r="L950" s="6"/>
      <c r="M950" s="6"/>
      <c r="N950" s="84"/>
      <c r="O950" s="80" t="str">
        <f>IF(N950="","",VLOOKUP(N950,ROLES!B:C,2,FALSE))</f>
        <v/>
      </c>
      <c r="P950" s="6"/>
      <c r="Q950" s="6"/>
      <c r="R950" s="16">
        <f t="shared" si="30"/>
        <v>0</v>
      </c>
      <c r="S950" s="16"/>
      <c r="T950" s="80" t="str">
        <f>IF(S950="","",VLOOKUP(S950,VALORACION!F:G,2,FALSE))</f>
        <v/>
      </c>
      <c r="U950" s="11"/>
      <c r="V950" s="80" t="str">
        <f>IF(U950="","",VLOOKUP(U950,ROLES!G:H,2,FALSE))</f>
        <v/>
      </c>
      <c r="W950" s="6"/>
      <c r="X950" s="6"/>
      <c r="Y950" s="95" t="e">
        <f t="shared" si="29"/>
        <v>#VALUE!</v>
      </c>
      <c r="Z950" s="6"/>
      <c r="AA950" s="6"/>
    </row>
    <row r="951" spans="1:27" ht="28.95" customHeight="1" x14ac:dyDescent="0.3">
      <c r="A951" s="91"/>
      <c r="B951" s="91"/>
      <c r="C951" s="80"/>
      <c r="D951" s="91"/>
      <c r="E951" s="80"/>
      <c r="F951" s="6"/>
      <c r="G951" s="6"/>
      <c r="H951" s="25"/>
      <c r="I951" s="133"/>
      <c r="J951" s="6"/>
      <c r="K951" s="6"/>
      <c r="L951" s="6"/>
      <c r="M951" s="6"/>
      <c r="N951" s="84"/>
      <c r="O951" s="80" t="str">
        <f>IF(N951="","",VLOOKUP(N951,ROLES!B:C,2,FALSE))</f>
        <v/>
      </c>
      <c r="P951" s="6"/>
      <c r="Q951" s="6"/>
      <c r="R951" s="16">
        <f t="shared" si="30"/>
        <v>0</v>
      </c>
      <c r="S951" s="16"/>
      <c r="T951" s="80" t="str">
        <f>IF(S951="","",VLOOKUP(S951,VALORACION!F:G,2,FALSE))</f>
        <v/>
      </c>
      <c r="U951" s="11"/>
      <c r="V951" s="80" t="str">
        <f>IF(U951="","",VLOOKUP(U951,ROLES!G:H,2,FALSE))</f>
        <v/>
      </c>
      <c r="W951" s="6"/>
      <c r="X951" s="6"/>
      <c r="Y951" s="95" t="e">
        <f t="shared" si="29"/>
        <v>#VALUE!</v>
      </c>
      <c r="Z951" s="6"/>
      <c r="AA951" s="6"/>
    </row>
    <row r="952" spans="1:27" ht="28.95" customHeight="1" x14ac:dyDescent="0.3">
      <c r="A952" s="91"/>
      <c r="B952" s="91"/>
      <c r="C952" s="80"/>
      <c r="D952" s="91"/>
      <c r="E952" s="80"/>
      <c r="F952" s="6"/>
      <c r="G952" s="6"/>
      <c r="H952" s="25"/>
      <c r="I952" s="133"/>
      <c r="J952" s="6"/>
      <c r="K952" s="6"/>
      <c r="L952" s="6"/>
      <c r="M952" s="6"/>
      <c r="N952" s="84"/>
      <c r="O952" s="80" t="str">
        <f>IF(N952="","",VLOOKUP(N952,ROLES!B:C,2,FALSE))</f>
        <v/>
      </c>
      <c r="P952" s="6"/>
      <c r="Q952" s="6"/>
      <c r="R952" s="16">
        <f t="shared" si="30"/>
        <v>0</v>
      </c>
      <c r="S952" s="16"/>
      <c r="T952" s="80" t="str">
        <f>IF(S952="","",VLOOKUP(S952,VALORACION!F:G,2,FALSE))</f>
        <v/>
      </c>
      <c r="U952" s="11"/>
      <c r="V952" s="80" t="str">
        <f>IF(U952="","",VLOOKUP(U952,ROLES!G:H,2,FALSE))</f>
        <v/>
      </c>
      <c r="W952" s="6"/>
      <c r="X952" s="6"/>
      <c r="Y952" s="95" t="e">
        <f t="shared" si="29"/>
        <v>#VALUE!</v>
      </c>
      <c r="Z952" s="6"/>
      <c r="AA952" s="6"/>
    </row>
    <row r="953" spans="1:27" ht="28.95" customHeight="1" x14ac:dyDescent="0.3">
      <c r="A953" s="91"/>
      <c r="B953" s="91"/>
      <c r="C953" s="80"/>
      <c r="D953" s="91"/>
      <c r="E953" s="80"/>
      <c r="F953" s="6"/>
      <c r="G953" s="6"/>
      <c r="H953" s="25"/>
      <c r="I953" s="133"/>
      <c r="J953" s="6"/>
      <c r="K953" s="6"/>
      <c r="L953" s="6"/>
      <c r="M953" s="6"/>
      <c r="N953" s="84"/>
      <c r="O953" s="80" t="str">
        <f>IF(N953="","",VLOOKUP(N953,ROLES!B:C,2,FALSE))</f>
        <v/>
      </c>
      <c r="P953" s="6"/>
      <c r="Q953" s="6"/>
      <c r="R953" s="16">
        <f t="shared" si="30"/>
        <v>0</v>
      </c>
      <c r="S953" s="16"/>
      <c r="T953" s="80" t="str">
        <f>IF(S953="","",VLOOKUP(S953,VALORACION!F:G,2,FALSE))</f>
        <v/>
      </c>
      <c r="U953" s="11"/>
      <c r="V953" s="80" t="str">
        <f>IF(U953="","",VLOOKUP(U953,ROLES!G:H,2,FALSE))</f>
        <v/>
      </c>
      <c r="W953" s="6"/>
      <c r="X953" s="6"/>
      <c r="Y953" s="95" t="e">
        <f t="shared" si="29"/>
        <v>#VALUE!</v>
      </c>
      <c r="Z953" s="6"/>
      <c r="AA953" s="6"/>
    </row>
    <row r="954" spans="1:27" ht="28.95" customHeight="1" x14ac:dyDescent="0.3">
      <c r="A954" s="91"/>
      <c r="B954" s="91"/>
      <c r="C954" s="80"/>
      <c r="D954" s="91"/>
      <c r="E954" s="80"/>
      <c r="F954" s="6"/>
      <c r="G954" s="6"/>
      <c r="H954" s="25"/>
      <c r="I954" s="133"/>
      <c r="J954" s="6"/>
      <c r="K954" s="6"/>
      <c r="L954" s="6"/>
      <c r="M954" s="6"/>
      <c r="N954" s="84"/>
      <c r="O954" s="80" t="str">
        <f>IF(N954="","",VLOOKUP(N954,ROLES!B:C,2,FALSE))</f>
        <v/>
      </c>
      <c r="P954" s="6"/>
      <c r="Q954" s="6"/>
      <c r="R954" s="16">
        <f t="shared" si="30"/>
        <v>0</v>
      </c>
      <c r="S954" s="16"/>
      <c r="T954" s="80" t="str">
        <f>IF(S954="","",VLOOKUP(S954,VALORACION!F:G,2,FALSE))</f>
        <v/>
      </c>
      <c r="U954" s="11"/>
      <c r="V954" s="80" t="str">
        <f>IF(U954="","",VLOOKUP(U954,ROLES!G:H,2,FALSE))</f>
        <v/>
      </c>
      <c r="W954" s="6"/>
      <c r="X954" s="6"/>
      <c r="Y954" s="95" t="e">
        <f t="shared" si="29"/>
        <v>#VALUE!</v>
      </c>
      <c r="Z954" s="6"/>
      <c r="AA954" s="6"/>
    </row>
    <row r="955" spans="1:27" ht="28.95" customHeight="1" x14ac:dyDescent="0.3">
      <c r="A955" s="91"/>
      <c r="B955" s="91"/>
      <c r="C955" s="80"/>
      <c r="D955" s="91"/>
      <c r="E955" s="80"/>
      <c r="F955" s="6"/>
      <c r="G955" s="6"/>
      <c r="H955" s="25"/>
      <c r="I955" s="133"/>
      <c r="J955" s="6"/>
      <c r="K955" s="6"/>
      <c r="L955" s="6"/>
      <c r="M955" s="6"/>
      <c r="N955" s="84"/>
      <c r="O955" s="80" t="str">
        <f>IF(N955="","",VLOOKUP(N955,ROLES!B:C,2,FALSE))</f>
        <v/>
      </c>
      <c r="P955" s="6"/>
      <c r="Q955" s="6"/>
      <c r="R955" s="16">
        <f t="shared" si="30"/>
        <v>0</v>
      </c>
      <c r="S955" s="16"/>
      <c r="T955" s="80" t="str">
        <f>IF(S955="","",VLOOKUP(S955,VALORACION!F:G,2,FALSE))</f>
        <v/>
      </c>
      <c r="U955" s="11"/>
      <c r="V955" s="80" t="str">
        <f>IF(U955="","",VLOOKUP(U955,ROLES!G:H,2,FALSE))</f>
        <v/>
      </c>
      <c r="W955" s="6"/>
      <c r="X955" s="6"/>
      <c r="Y955" s="95" t="e">
        <f t="shared" si="29"/>
        <v>#VALUE!</v>
      </c>
      <c r="Z955" s="6"/>
      <c r="AA955" s="6"/>
    </row>
    <row r="956" spans="1:27" ht="28.95" customHeight="1" x14ac:dyDescent="0.3">
      <c r="A956" s="91"/>
      <c r="B956" s="91"/>
      <c r="C956" s="80"/>
      <c r="D956" s="91"/>
      <c r="E956" s="80"/>
      <c r="F956" s="6"/>
      <c r="G956" s="6"/>
      <c r="H956" s="25"/>
      <c r="I956" s="133"/>
      <c r="J956" s="6"/>
      <c r="K956" s="6"/>
      <c r="L956" s="6"/>
      <c r="M956" s="6"/>
      <c r="N956" s="84"/>
      <c r="O956" s="80" t="str">
        <f>IF(N956="","",VLOOKUP(N956,ROLES!B:C,2,FALSE))</f>
        <v/>
      </c>
      <c r="P956" s="6"/>
      <c r="Q956" s="6"/>
      <c r="R956" s="16">
        <f t="shared" si="30"/>
        <v>0</v>
      </c>
      <c r="S956" s="16"/>
      <c r="T956" s="80" t="str">
        <f>IF(S956="","",VLOOKUP(S956,VALORACION!F:G,2,FALSE))</f>
        <v/>
      </c>
      <c r="U956" s="11"/>
      <c r="V956" s="80" t="str">
        <f>IF(U956="","",VLOOKUP(U956,ROLES!G:H,2,FALSE))</f>
        <v/>
      </c>
      <c r="W956" s="6"/>
      <c r="X956" s="6"/>
      <c r="Y956" s="95" t="e">
        <f t="shared" si="29"/>
        <v>#VALUE!</v>
      </c>
      <c r="Z956" s="6"/>
      <c r="AA956" s="6"/>
    </row>
    <row r="957" spans="1:27" ht="28.95" customHeight="1" x14ac:dyDescent="0.3">
      <c r="A957" s="91"/>
      <c r="B957" s="91"/>
      <c r="C957" s="80"/>
      <c r="D957" s="91"/>
      <c r="E957" s="80"/>
      <c r="F957" s="6"/>
      <c r="G957" s="6"/>
      <c r="H957" s="25"/>
      <c r="I957" s="133"/>
      <c r="J957" s="6"/>
      <c r="K957" s="6"/>
      <c r="L957" s="6"/>
      <c r="M957" s="6"/>
      <c r="N957" s="84"/>
      <c r="O957" s="80" t="str">
        <f>IF(N957="","",VLOOKUP(N957,ROLES!B:C,2,FALSE))</f>
        <v/>
      </c>
      <c r="P957" s="6"/>
      <c r="Q957" s="6"/>
      <c r="R957" s="16">
        <f t="shared" si="30"/>
        <v>0</v>
      </c>
      <c r="S957" s="16"/>
      <c r="T957" s="80" t="str">
        <f>IF(S957="","",VLOOKUP(S957,VALORACION!F:G,2,FALSE))</f>
        <v/>
      </c>
      <c r="U957" s="11"/>
      <c r="V957" s="80" t="str">
        <f>IF(U957="","",VLOOKUP(U957,ROLES!G:H,2,FALSE))</f>
        <v/>
      </c>
      <c r="W957" s="6"/>
      <c r="X957" s="6"/>
      <c r="Y957" s="95" t="e">
        <f t="shared" si="29"/>
        <v>#VALUE!</v>
      </c>
      <c r="Z957" s="6"/>
      <c r="AA957" s="6"/>
    </row>
    <row r="958" spans="1:27" ht="28.95" customHeight="1" x14ac:dyDescent="0.3">
      <c r="A958" s="91"/>
      <c r="B958" s="91"/>
      <c r="C958" s="80"/>
      <c r="D958" s="91"/>
      <c r="E958" s="80"/>
      <c r="F958" s="6"/>
      <c r="G958" s="6"/>
      <c r="H958" s="25"/>
      <c r="I958" s="133"/>
      <c r="J958" s="6"/>
      <c r="K958" s="6"/>
      <c r="L958" s="6"/>
      <c r="M958" s="6"/>
      <c r="N958" s="84"/>
      <c r="O958" s="80" t="str">
        <f>IF(N958="","",VLOOKUP(N958,ROLES!B:C,2,FALSE))</f>
        <v/>
      </c>
      <c r="P958" s="6"/>
      <c r="Q958" s="6"/>
      <c r="R958" s="16">
        <f t="shared" si="30"/>
        <v>0</v>
      </c>
      <c r="S958" s="16"/>
      <c r="T958" s="80" t="str">
        <f>IF(S958="","",VLOOKUP(S958,VALORACION!F:G,2,FALSE))</f>
        <v/>
      </c>
      <c r="U958" s="11"/>
      <c r="V958" s="80" t="str">
        <f>IF(U958="","",VLOOKUP(U958,ROLES!G:H,2,FALSE))</f>
        <v/>
      </c>
      <c r="W958" s="6"/>
      <c r="X958" s="6"/>
      <c r="Y958" s="95" t="e">
        <f t="shared" si="29"/>
        <v>#VALUE!</v>
      </c>
      <c r="Z958" s="6"/>
      <c r="AA958" s="6"/>
    </row>
    <row r="959" spans="1:27" ht="28.95" customHeight="1" x14ac:dyDescent="0.3">
      <c r="A959" s="91"/>
      <c r="B959" s="91"/>
      <c r="C959" s="80"/>
      <c r="D959" s="91"/>
      <c r="E959" s="80"/>
      <c r="F959" s="6"/>
      <c r="G959" s="6"/>
      <c r="H959" s="25"/>
      <c r="I959" s="133"/>
      <c r="J959" s="6"/>
      <c r="K959" s="6"/>
      <c r="L959" s="6"/>
      <c r="M959" s="6"/>
      <c r="N959" s="84"/>
      <c r="O959" s="80" t="str">
        <f>IF(N959="","",VLOOKUP(N959,ROLES!B:C,2,FALSE))</f>
        <v/>
      </c>
      <c r="P959" s="6"/>
      <c r="Q959" s="6"/>
      <c r="R959" s="16">
        <f t="shared" si="30"/>
        <v>0</v>
      </c>
      <c r="S959" s="16"/>
      <c r="T959" s="80" t="str">
        <f>IF(S959="","",VLOOKUP(S959,VALORACION!F:G,2,FALSE))</f>
        <v/>
      </c>
      <c r="U959" s="11"/>
      <c r="V959" s="80" t="str">
        <f>IF(U959="","",VLOOKUP(U959,ROLES!G:H,2,FALSE))</f>
        <v/>
      </c>
      <c r="W959" s="6"/>
      <c r="X959" s="6"/>
      <c r="Y959" s="95" t="e">
        <f t="shared" si="29"/>
        <v>#VALUE!</v>
      </c>
      <c r="Z959" s="6"/>
      <c r="AA959" s="6"/>
    </row>
    <row r="960" spans="1:27" ht="28.95" customHeight="1" x14ac:dyDescent="0.3">
      <c r="A960" s="91"/>
      <c r="B960" s="91"/>
      <c r="C960" s="80"/>
      <c r="D960" s="91"/>
      <c r="E960" s="80"/>
      <c r="F960" s="6"/>
      <c r="G960" s="6"/>
      <c r="H960" s="25"/>
      <c r="I960" s="133"/>
      <c r="J960" s="6"/>
      <c r="K960" s="6"/>
      <c r="L960" s="6"/>
      <c r="M960" s="6"/>
      <c r="N960" s="84"/>
      <c r="O960" s="80" t="str">
        <f>IF(N960="","",VLOOKUP(N960,ROLES!B:C,2,FALSE))</f>
        <v/>
      </c>
      <c r="P960" s="6"/>
      <c r="Q960" s="6"/>
      <c r="R960" s="16">
        <f t="shared" si="30"/>
        <v>0</v>
      </c>
      <c r="S960" s="16"/>
      <c r="T960" s="80" t="str">
        <f>IF(S960="","",VLOOKUP(S960,VALORACION!F:G,2,FALSE))</f>
        <v/>
      </c>
      <c r="U960" s="11"/>
      <c r="V960" s="80" t="str">
        <f>IF(U960="","",VLOOKUP(U960,ROLES!G:H,2,FALSE))</f>
        <v/>
      </c>
      <c r="W960" s="6"/>
      <c r="X960" s="6"/>
      <c r="Y960" s="95" t="e">
        <f t="shared" si="29"/>
        <v>#VALUE!</v>
      </c>
      <c r="Z960" s="6"/>
      <c r="AA960" s="6"/>
    </row>
    <row r="961" spans="1:27" ht="28.95" customHeight="1" x14ac:dyDescent="0.3">
      <c r="A961" s="91"/>
      <c r="B961" s="91"/>
      <c r="C961" s="80"/>
      <c r="D961" s="91"/>
      <c r="E961" s="80"/>
      <c r="F961" s="6"/>
      <c r="G961" s="6"/>
      <c r="H961" s="25"/>
      <c r="I961" s="133"/>
      <c r="J961" s="6"/>
      <c r="K961" s="6"/>
      <c r="L961" s="6"/>
      <c r="M961" s="6"/>
      <c r="N961" s="84"/>
      <c r="O961" s="80" t="str">
        <f>IF(N961="","",VLOOKUP(N961,ROLES!B:C,2,FALSE))</f>
        <v/>
      </c>
      <c r="P961" s="6"/>
      <c r="Q961" s="6"/>
      <c r="R961" s="16">
        <f t="shared" si="30"/>
        <v>0</v>
      </c>
      <c r="S961" s="16"/>
      <c r="T961" s="80" t="str">
        <f>IF(S961="","",VLOOKUP(S961,VALORACION!F:G,2,FALSE))</f>
        <v/>
      </c>
      <c r="U961" s="11"/>
      <c r="V961" s="80" t="str">
        <f>IF(U961="","",VLOOKUP(U961,ROLES!G:H,2,FALSE))</f>
        <v/>
      </c>
      <c r="W961" s="6"/>
      <c r="X961" s="6"/>
      <c r="Y961" s="95" t="e">
        <f t="shared" si="29"/>
        <v>#VALUE!</v>
      </c>
      <c r="Z961" s="6"/>
      <c r="AA961" s="6"/>
    </row>
    <row r="962" spans="1:27" ht="28.95" customHeight="1" x14ac:dyDescent="0.3">
      <c r="A962" s="91"/>
      <c r="B962" s="91"/>
      <c r="C962" s="80"/>
      <c r="D962" s="91"/>
      <c r="E962" s="80"/>
      <c r="F962" s="6"/>
      <c r="G962" s="6"/>
      <c r="H962" s="25"/>
      <c r="I962" s="133"/>
      <c r="J962" s="6"/>
      <c r="K962" s="6"/>
      <c r="L962" s="6"/>
      <c r="M962" s="6"/>
      <c r="N962" s="84"/>
      <c r="O962" s="80" t="str">
        <f>IF(N962="","",VLOOKUP(N962,ROLES!B:C,2,FALSE))</f>
        <v/>
      </c>
      <c r="P962" s="6"/>
      <c r="Q962" s="6"/>
      <c r="R962" s="16">
        <f t="shared" si="30"/>
        <v>0</v>
      </c>
      <c r="S962" s="16"/>
      <c r="T962" s="80" t="str">
        <f>IF(S962="","",VLOOKUP(S962,VALORACION!F:G,2,FALSE))</f>
        <v/>
      </c>
      <c r="U962" s="11"/>
      <c r="V962" s="80" t="str">
        <f>IF(U962="","",VLOOKUP(U962,ROLES!G:H,2,FALSE))</f>
        <v/>
      </c>
      <c r="W962" s="6"/>
      <c r="X962" s="6"/>
      <c r="Y962" s="95" t="e">
        <f t="shared" si="29"/>
        <v>#VALUE!</v>
      </c>
      <c r="Z962" s="6"/>
      <c r="AA962" s="6"/>
    </row>
    <row r="963" spans="1:27" ht="28.95" customHeight="1" x14ac:dyDescent="0.3">
      <c r="A963" s="91"/>
      <c r="B963" s="91"/>
      <c r="C963" s="80"/>
      <c r="D963" s="91"/>
      <c r="E963" s="80"/>
      <c r="F963" s="6"/>
      <c r="G963" s="6"/>
      <c r="H963" s="25"/>
      <c r="I963" s="133"/>
      <c r="J963" s="6"/>
      <c r="K963" s="6"/>
      <c r="L963" s="6"/>
      <c r="M963" s="6"/>
      <c r="N963" s="84"/>
      <c r="O963" s="80" t="str">
        <f>IF(N963="","",VLOOKUP(N963,ROLES!B:C,2,FALSE))</f>
        <v/>
      </c>
      <c r="P963" s="6"/>
      <c r="Q963" s="6"/>
      <c r="R963" s="16">
        <f t="shared" si="30"/>
        <v>0</v>
      </c>
      <c r="S963" s="16"/>
      <c r="T963" s="80" t="str">
        <f>IF(S963="","",VLOOKUP(S963,VALORACION!F:G,2,FALSE))</f>
        <v/>
      </c>
      <c r="U963" s="11"/>
      <c r="V963" s="80" t="str">
        <f>IF(U963="","",VLOOKUP(U963,ROLES!G:H,2,FALSE))</f>
        <v/>
      </c>
      <c r="W963" s="6"/>
      <c r="X963" s="6"/>
      <c r="Y963" s="95" t="e">
        <f t="shared" si="29"/>
        <v>#VALUE!</v>
      </c>
      <c r="Z963" s="6"/>
      <c r="AA963" s="6"/>
    </row>
    <row r="964" spans="1:27" ht="28.95" customHeight="1" x14ac:dyDescent="0.3">
      <c r="A964" s="91"/>
      <c r="B964" s="91"/>
      <c r="C964" s="80"/>
      <c r="D964" s="91"/>
      <c r="E964" s="80"/>
      <c r="F964" s="6"/>
      <c r="G964" s="6"/>
      <c r="H964" s="25"/>
      <c r="I964" s="133"/>
      <c r="J964" s="6"/>
      <c r="K964" s="6"/>
      <c r="L964" s="6"/>
      <c r="M964" s="6"/>
      <c r="N964" s="84"/>
      <c r="O964" s="80" t="str">
        <f>IF(N964="","",VLOOKUP(N964,ROLES!B:C,2,FALSE))</f>
        <v/>
      </c>
      <c r="P964" s="6"/>
      <c r="Q964" s="6"/>
      <c r="R964" s="16">
        <f t="shared" si="30"/>
        <v>0</v>
      </c>
      <c r="S964" s="16"/>
      <c r="T964" s="80" t="str">
        <f>IF(S964="","",VLOOKUP(S964,VALORACION!F:G,2,FALSE))</f>
        <v/>
      </c>
      <c r="U964" s="11"/>
      <c r="V964" s="80" t="str">
        <f>IF(U964="","",VLOOKUP(U964,ROLES!G:H,2,FALSE))</f>
        <v/>
      </c>
      <c r="W964" s="6"/>
      <c r="X964" s="6"/>
      <c r="Y964" s="95" t="e">
        <f t="shared" si="29"/>
        <v>#VALUE!</v>
      </c>
      <c r="Z964" s="6"/>
      <c r="AA964" s="6"/>
    </row>
    <row r="965" spans="1:27" ht="28.95" customHeight="1" x14ac:dyDescent="0.3">
      <c r="A965" s="91"/>
      <c r="B965" s="91"/>
      <c r="C965" s="80"/>
      <c r="D965" s="91"/>
      <c r="E965" s="80"/>
      <c r="F965" s="6"/>
      <c r="G965" s="6"/>
      <c r="H965" s="25"/>
      <c r="I965" s="133"/>
      <c r="J965" s="6"/>
      <c r="K965" s="6"/>
      <c r="L965" s="6"/>
      <c r="M965" s="6"/>
      <c r="N965" s="84"/>
      <c r="O965" s="80" t="str">
        <f>IF(N965="","",VLOOKUP(N965,ROLES!B:C,2,FALSE))</f>
        <v/>
      </c>
      <c r="P965" s="6"/>
      <c r="Q965" s="6"/>
      <c r="R965" s="16">
        <f t="shared" si="30"/>
        <v>0</v>
      </c>
      <c r="S965" s="16"/>
      <c r="T965" s="80" t="str">
        <f>IF(S965="","",VLOOKUP(S965,VALORACION!F:G,2,FALSE))</f>
        <v/>
      </c>
      <c r="U965" s="11"/>
      <c r="V965" s="80" t="str">
        <f>IF(U965="","",VLOOKUP(U965,ROLES!G:H,2,FALSE))</f>
        <v/>
      </c>
      <c r="W965" s="6"/>
      <c r="X965" s="6"/>
      <c r="Y965" s="95" t="e">
        <f t="shared" ref="Y965:Y1028" si="31">(VALUE(O965)+VALUE(V965)+VALUE(X965)+VALUE(T965))/3</f>
        <v>#VALUE!</v>
      </c>
      <c r="Z965" s="6"/>
      <c r="AA965" s="6"/>
    </row>
    <row r="966" spans="1:27" ht="28.95" customHeight="1" x14ac:dyDescent="0.3">
      <c r="A966" s="91"/>
      <c r="B966" s="91"/>
      <c r="C966" s="80"/>
      <c r="D966" s="91"/>
      <c r="E966" s="80"/>
      <c r="F966" s="6"/>
      <c r="G966" s="6"/>
      <c r="H966" s="25"/>
      <c r="I966" s="133"/>
      <c r="J966" s="6"/>
      <c r="K966" s="6"/>
      <c r="L966" s="6"/>
      <c r="M966" s="6"/>
      <c r="N966" s="84"/>
      <c r="O966" s="80" t="str">
        <f>IF(N966="","",VLOOKUP(N966,ROLES!B:C,2,FALSE))</f>
        <v/>
      </c>
      <c r="P966" s="6"/>
      <c r="Q966" s="6"/>
      <c r="R966" s="16">
        <f t="shared" si="30"/>
        <v>0</v>
      </c>
      <c r="S966" s="16"/>
      <c r="T966" s="80" t="str">
        <f>IF(S966="","",VLOOKUP(S966,VALORACION!F:G,2,FALSE))</f>
        <v/>
      </c>
      <c r="U966" s="11"/>
      <c r="V966" s="80" t="str">
        <f>IF(U966="","",VLOOKUP(U966,ROLES!G:H,2,FALSE))</f>
        <v/>
      </c>
      <c r="W966" s="6"/>
      <c r="X966" s="6"/>
      <c r="Y966" s="95" t="e">
        <f t="shared" si="31"/>
        <v>#VALUE!</v>
      </c>
      <c r="Z966" s="6"/>
      <c r="AA966" s="6"/>
    </row>
    <row r="967" spans="1:27" ht="28.95" customHeight="1" x14ac:dyDescent="0.3">
      <c r="A967" s="91"/>
      <c r="B967" s="91"/>
      <c r="C967" s="80"/>
      <c r="D967" s="91"/>
      <c r="E967" s="80"/>
      <c r="F967" s="6"/>
      <c r="G967" s="6"/>
      <c r="H967" s="25"/>
      <c r="I967" s="133"/>
      <c r="J967" s="6"/>
      <c r="K967" s="6"/>
      <c r="L967" s="6"/>
      <c r="M967" s="6"/>
      <c r="N967" s="84"/>
      <c r="O967" s="80" t="str">
        <f>IF(N967="","",VLOOKUP(N967,ROLES!B:C,2,FALSE))</f>
        <v/>
      </c>
      <c r="P967" s="6"/>
      <c r="Q967" s="6"/>
      <c r="R967" s="16">
        <f t="shared" ref="R967:R1030" si="32">DATEDIF(P967,Q967,"m")</f>
        <v>0</v>
      </c>
      <c r="S967" s="16"/>
      <c r="T967" s="80" t="str">
        <f>IF(S967="","",VLOOKUP(S967,VALORACION!F:G,2,FALSE))</f>
        <v/>
      </c>
      <c r="U967" s="11"/>
      <c r="V967" s="80" t="str">
        <f>IF(U967="","",VLOOKUP(U967,ROLES!G:H,2,FALSE))</f>
        <v/>
      </c>
      <c r="W967" s="6"/>
      <c r="X967" s="6"/>
      <c r="Y967" s="95" t="e">
        <f t="shared" si="31"/>
        <v>#VALUE!</v>
      </c>
      <c r="Z967" s="6"/>
      <c r="AA967" s="6"/>
    </row>
    <row r="968" spans="1:27" ht="28.95" customHeight="1" x14ac:dyDescent="0.3">
      <c r="A968" s="91"/>
      <c r="B968" s="91"/>
      <c r="C968" s="80"/>
      <c r="D968" s="91"/>
      <c r="E968" s="80"/>
      <c r="F968" s="6"/>
      <c r="G968" s="6"/>
      <c r="H968" s="25"/>
      <c r="I968" s="133"/>
      <c r="J968" s="6"/>
      <c r="K968" s="6"/>
      <c r="L968" s="6"/>
      <c r="M968" s="6"/>
      <c r="N968" s="84"/>
      <c r="O968" s="80" t="str">
        <f>IF(N968="","",VLOOKUP(N968,ROLES!B:C,2,FALSE))</f>
        <v/>
      </c>
      <c r="P968" s="6"/>
      <c r="Q968" s="6"/>
      <c r="R968" s="16">
        <f t="shared" si="32"/>
        <v>0</v>
      </c>
      <c r="S968" s="16"/>
      <c r="T968" s="80" t="str">
        <f>IF(S968="","",VLOOKUP(S968,VALORACION!F:G,2,FALSE))</f>
        <v/>
      </c>
      <c r="U968" s="11"/>
      <c r="V968" s="80" t="str">
        <f>IF(U968="","",VLOOKUP(U968,ROLES!G:H,2,FALSE))</f>
        <v/>
      </c>
      <c r="W968" s="6"/>
      <c r="X968" s="6"/>
      <c r="Y968" s="95" t="e">
        <f t="shared" si="31"/>
        <v>#VALUE!</v>
      </c>
      <c r="Z968" s="6"/>
      <c r="AA968" s="6"/>
    </row>
    <row r="969" spans="1:27" ht="28.95" customHeight="1" x14ac:dyDescent="0.3">
      <c r="A969" s="91"/>
      <c r="B969" s="91"/>
      <c r="C969" s="80"/>
      <c r="D969" s="91"/>
      <c r="E969" s="80"/>
      <c r="F969" s="6"/>
      <c r="G969" s="6"/>
      <c r="H969" s="25"/>
      <c r="I969" s="133"/>
      <c r="J969" s="6"/>
      <c r="K969" s="6"/>
      <c r="L969" s="6"/>
      <c r="M969" s="6"/>
      <c r="N969" s="84"/>
      <c r="O969" s="80" t="str">
        <f>IF(N969="","",VLOOKUP(N969,ROLES!B:C,2,FALSE))</f>
        <v/>
      </c>
      <c r="P969" s="6"/>
      <c r="Q969" s="6"/>
      <c r="R969" s="16">
        <f t="shared" si="32"/>
        <v>0</v>
      </c>
      <c r="S969" s="16"/>
      <c r="T969" s="80" t="str">
        <f>IF(S969="","",VLOOKUP(S969,VALORACION!F:G,2,FALSE))</f>
        <v/>
      </c>
      <c r="U969" s="11"/>
      <c r="V969" s="80" t="str">
        <f>IF(U969="","",VLOOKUP(U969,ROLES!G:H,2,FALSE))</f>
        <v/>
      </c>
      <c r="W969" s="6"/>
      <c r="X969" s="6"/>
      <c r="Y969" s="95" t="e">
        <f t="shared" si="31"/>
        <v>#VALUE!</v>
      </c>
      <c r="Z969" s="6"/>
      <c r="AA969" s="6"/>
    </row>
    <row r="970" spans="1:27" ht="28.95" customHeight="1" x14ac:dyDescent="0.3">
      <c r="A970" s="91"/>
      <c r="B970" s="91"/>
      <c r="C970" s="80"/>
      <c r="D970" s="91"/>
      <c r="E970" s="80"/>
      <c r="F970" s="6"/>
      <c r="G970" s="6"/>
      <c r="H970" s="25"/>
      <c r="I970" s="133"/>
      <c r="J970" s="6"/>
      <c r="K970" s="6"/>
      <c r="L970" s="6"/>
      <c r="M970" s="6"/>
      <c r="N970" s="84"/>
      <c r="O970" s="80" t="str">
        <f>IF(N970="","",VLOOKUP(N970,ROLES!B:C,2,FALSE))</f>
        <v/>
      </c>
      <c r="P970" s="6"/>
      <c r="Q970" s="6"/>
      <c r="R970" s="16">
        <f t="shared" si="32"/>
        <v>0</v>
      </c>
      <c r="S970" s="16"/>
      <c r="T970" s="80" t="str">
        <f>IF(S970="","",VLOOKUP(S970,VALORACION!F:G,2,FALSE))</f>
        <v/>
      </c>
      <c r="U970" s="11"/>
      <c r="V970" s="80" t="str">
        <f>IF(U970="","",VLOOKUP(U970,ROLES!G:H,2,FALSE))</f>
        <v/>
      </c>
      <c r="W970" s="6"/>
      <c r="X970" s="6"/>
      <c r="Y970" s="95" t="e">
        <f t="shared" si="31"/>
        <v>#VALUE!</v>
      </c>
      <c r="Z970" s="6"/>
      <c r="AA970" s="6"/>
    </row>
    <row r="971" spans="1:27" ht="28.95" customHeight="1" x14ac:dyDescent="0.3">
      <c r="A971" s="91"/>
      <c r="B971" s="91"/>
      <c r="C971" s="80"/>
      <c r="D971" s="91"/>
      <c r="E971" s="80"/>
      <c r="F971" s="6"/>
      <c r="G971" s="6"/>
      <c r="H971" s="25"/>
      <c r="I971" s="133"/>
      <c r="J971" s="6"/>
      <c r="K971" s="6"/>
      <c r="L971" s="6"/>
      <c r="M971" s="6"/>
      <c r="N971" s="84"/>
      <c r="O971" s="80" t="str">
        <f>IF(N971="","",VLOOKUP(N971,ROLES!B:C,2,FALSE))</f>
        <v/>
      </c>
      <c r="P971" s="6"/>
      <c r="Q971" s="6"/>
      <c r="R971" s="16">
        <f t="shared" si="32"/>
        <v>0</v>
      </c>
      <c r="S971" s="16"/>
      <c r="T971" s="80" t="str">
        <f>IF(S971="","",VLOOKUP(S971,VALORACION!F:G,2,FALSE))</f>
        <v/>
      </c>
      <c r="U971" s="11"/>
      <c r="V971" s="80" t="str">
        <f>IF(U971="","",VLOOKUP(U971,ROLES!G:H,2,FALSE))</f>
        <v/>
      </c>
      <c r="W971" s="6"/>
      <c r="X971" s="6"/>
      <c r="Y971" s="95" t="e">
        <f t="shared" si="31"/>
        <v>#VALUE!</v>
      </c>
      <c r="Z971" s="6"/>
      <c r="AA971" s="6"/>
    </row>
    <row r="972" spans="1:27" ht="28.95" customHeight="1" x14ac:dyDescent="0.3">
      <c r="A972" s="91"/>
      <c r="B972" s="91"/>
      <c r="C972" s="80"/>
      <c r="D972" s="91"/>
      <c r="E972" s="80"/>
      <c r="F972" s="6"/>
      <c r="G972" s="6"/>
      <c r="H972" s="25"/>
      <c r="I972" s="133"/>
      <c r="J972" s="6"/>
      <c r="K972" s="6"/>
      <c r="L972" s="6"/>
      <c r="M972" s="6"/>
      <c r="N972" s="84"/>
      <c r="O972" s="80" t="str">
        <f>IF(N972="","",VLOOKUP(N972,ROLES!B:C,2,FALSE))</f>
        <v/>
      </c>
      <c r="P972" s="6"/>
      <c r="Q972" s="6"/>
      <c r="R972" s="16">
        <f t="shared" si="32"/>
        <v>0</v>
      </c>
      <c r="S972" s="16"/>
      <c r="T972" s="80" t="str">
        <f>IF(S972="","",VLOOKUP(S972,VALORACION!F:G,2,FALSE))</f>
        <v/>
      </c>
      <c r="U972" s="11"/>
      <c r="V972" s="80" t="str">
        <f>IF(U972="","",VLOOKUP(U972,ROLES!G:H,2,FALSE))</f>
        <v/>
      </c>
      <c r="W972" s="6"/>
      <c r="X972" s="6"/>
      <c r="Y972" s="95" t="e">
        <f t="shared" si="31"/>
        <v>#VALUE!</v>
      </c>
      <c r="Z972" s="6"/>
      <c r="AA972" s="6"/>
    </row>
    <row r="973" spans="1:27" ht="28.95" customHeight="1" x14ac:dyDescent="0.3">
      <c r="A973" s="91"/>
      <c r="B973" s="91"/>
      <c r="C973" s="80"/>
      <c r="D973" s="91"/>
      <c r="E973" s="80"/>
      <c r="F973" s="6"/>
      <c r="G973" s="6"/>
      <c r="H973" s="25"/>
      <c r="I973" s="133"/>
      <c r="J973" s="6"/>
      <c r="K973" s="6"/>
      <c r="L973" s="6"/>
      <c r="M973" s="6"/>
      <c r="N973" s="84"/>
      <c r="O973" s="80" t="str">
        <f>IF(N973="","",VLOOKUP(N973,ROLES!B:C,2,FALSE))</f>
        <v/>
      </c>
      <c r="P973" s="6"/>
      <c r="Q973" s="6"/>
      <c r="R973" s="16">
        <f t="shared" si="32"/>
        <v>0</v>
      </c>
      <c r="S973" s="16"/>
      <c r="T973" s="80" t="str">
        <f>IF(S973="","",VLOOKUP(S973,VALORACION!F:G,2,FALSE))</f>
        <v/>
      </c>
      <c r="U973" s="11"/>
      <c r="V973" s="80" t="str">
        <f>IF(U973="","",VLOOKUP(U973,ROLES!G:H,2,FALSE))</f>
        <v/>
      </c>
      <c r="W973" s="6"/>
      <c r="X973" s="6"/>
      <c r="Y973" s="95" t="e">
        <f t="shared" si="31"/>
        <v>#VALUE!</v>
      </c>
      <c r="Z973" s="6"/>
      <c r="AA973" s="6"/>
    </row>
    <row r="974" spans="1:27" ht="28.95" customHeight="1" x14ac:dyDescent="0.3">
      <c r="A974" s="91"/>
      <c r="B974" s="91"/>
      <c r="C974" s="80"/>
      <c r="D974" s="91"/>
      <c r="E974" s="80"/>
      <c r="F974" s="6"/>
      <c r="G974" s="6"/>
      <c r="H974" s="25"/>
      <c r="I974" s="133"/>
      <c r="J974" s="6"/>
      <c r="K974" s="6"/>
      <c r="L974" s="6"/>
      <c r="M974" s="6"/>
      <c r="N974" s="84"/>
      <c r="O974" s="80" t="str">
        <f>IF(N974="","",VLOOKUP(N974,ROLES!B:C,2,FALSE))</f>
        <v/>
      </c>
      <c r="P974" s="6"/>
      <c r="Q974" s="6"/>
      <c r="R974" s="16">
        <f t="shared" si="32"/>
        <v>0</v>
      </c>
      <c r="S974" s="16"/>
      <c r="T974" s="80" t="str">
        <f>IF(S974="","",VLOOKUP(S974,VALORACION!F:G,2,FALSE))</f>
        <v/>
      </c>
      <c r="U974" s="11"/>
      <c r="V974" s="80" t="str">
        <f>IF(U974="","",VLOOKUP(U974,ROLES!G:H,2,FALSE))</f>
        <v/>
      </c>
      <c r="W974" s="6"/>
      <c r="X974" s="6"/>
      <c r="Y974" s="95" t="e">
        <f t="shared" si="31"/>
        <v>#VALUE!</v>
      </c>
      <c r="Z974" s="6"/>
      <c r="AA974" s="6"/>
    </row>
    <row r="975" spans="1:27" ht="28.95" customHeight="1" x14ac:dyDescent="0.3">
      <c r="A975" s="91"/>
      <c r="B975" s="91"/>
      <c r="C975" s="80"/>
      <c r="D975" s="91"/>
      <c r="E975" s="80"/>
      <c r="F975" s="6"/>
      <c r="G975" s="6"/>
      <c r="H975" s="25"/>
      <c r="I975" s="133"/>
      <c r="J975" s="6"/>
      <c r="K975" s="6"/>
      <c r="L975" s="6"/>
      <c r="M975" s="6"/>
      <c r="N975" s="84"/>
      <c r="O975" s="80" t="str">
        <f>IF(N975="","",VLOOKUP(N975,ROLES!B:C,2,FALSE))</f>
        <v/>
      </c>
      <c r="P975" s="6"/>
      <c r="Q975" s="6"/>
      <c r="R975" s="16">
        <f t="shared" si="32"/>
        <v>0</v>
      </c>
      <c r="S975" s="16"/>
      <c r="T975" s="80" t="str">
        <f>IF(S975="","",VLOOKUP(S975,VALORACION!F:G,2,FALSE))</f>
        <v/>
      </c>
      <c r="U975" s="11"/>
      <c r="V975" s="80" t="str">
        <f>IF(U975="","",VLOOKUP(U975,ROLES!G:H,2,FALSE))</f>
        <v/>
      </c>
      <c r="W975" s="6"/>
      <c r="X975" s="6"/>
      <c r="Y975" s="95" t="e">
        <f t="shared" si="31"/>
        <v>#VALUE!</v>
      </c>
      <c r="Z975" s="6"/>
      <c r="AA975" s="6"/>
    </row>
    <row r="976" spans="1:27" ht="28.95" customHeight="1" x14ac:dyDescent="0.3">
      <c r="A976" s="91"/>
      <c r="B976" s="91"/>
      <c r="C976" s="80"/>
      <c r="D976" s="91"/>
      <c r="E976" s="80"/>
      <c r="F976" s="6"/>
      <c r="G976" s="6"/>
      <c r="H976" s="25"/>
      <c r="I976" s="133"/>
      <c r="J976" s="6"/>
      <c r="K976" s="6"/>
      <c r="L976" s="6"/>
      <c r="M976" s="6"/>
      <c r="N976" s="84"/>
      <c r="O976" s="80" t="str">
        <f>IF(N976="","",VLOOKUP(N976,ROLES!B:C,2,FALSE))</f>
        <v/>
      </c>
      <c r="P976" s="6"/>
      <c r="Q976" s="6"/>
      <c r="R976" s="16">
        <f t="shared" si="32"/>
        <v>0</v>
      </c>
      <c r="S976" s="16"/>
      <c r="T976" s="80" t="str">
        <f>IF(S976="","",VLOOKUP(S976,VALORACION!F:G,2,FALSE))</f>
        <v/>
      </c>
      <c r="U976" s="11"/>
      <c r="V976" s="80" t="str">
        <f>IF(U976="","",VLOOKUP(U976,ROLES!G:H,2,FALSE))</f>
        <v/>
      </c>
      <c r="W976" s="6"/>
      <c r="X976" s="6"/>
      <c r="Y976" s="95" t="e">
        <f t="shared" si="31"/>
        <v>#VALUE!</v>
      </c>
      <c r="Z976" s="6"/>
      <c r="AA976" s="6"/>
    </row>
    <row r="977" spans="1:27" ht="28.95" customHeight="1" x14ac:dyDescent="0.3">
      <c r="A977" s="91"/>
      <c r="B977" s="91"/>
      <c r="C977" s="80"/>
      <c r="D977" s="91"/>
      <c r="E977" s="80"/>
      <c r="F977" s="6"/>
      <c r="G977" s="6"/>
      <c r="H977" s="25"/>
      <c r="I977" s="133"/>
      <c r="J977" s="6"/>
      <c r="K977" s="6"/>
      <c r="L977" s="6"/>
      <c r="M977" s="6"/>
      <c r="N977" s="84"/>
      <c r="O977" s="80" t="str">
        <f>IF(N977="","",VLOOKUP(N977,ROLES!B:C,2,FALSE))</f>
        <v/>
      </c>
      <c r="P977" s="6"/>
      <c r="Q977" s="6"/>
      <c r="R977" s="16">
        <f t="shared" si="32"/>
        <v>0</v>
      </c>
      <c r="S977" s="16"/>
      <c r="T977" s="80" t="str">
        <f>IF(S977="","",VLOOKUP(S977,VALORACION!F:G,2,FALSE))</f>
        <v/>
      </c>
      <c r="U977" s="11"/>
      <c r="V977" s="80" t="str">
        <f>IF(U977="","",VLOOKUP(U977,ROLES!G:H,2,FALSE))</f>
        <v/>
      </c>
      <c r="W977" s="6"/>
      <c r="X977" s="6"/>
      <c r="Y977" s="95" t="e">
        <f t="shared" si="31"/>
        <v>#VALUE!</v>
      </c>
      <c r="Z977" s="6"/>
      <c r="AA977" s="6"/>
    </row>
    <row r="978" spans="1:27" ht="28.95" customHeight="1" x14ac:dyDescent="0.3">
      <c r="A978" s="91"/>
      <c r="B978" s="91"/>
      <c r="C978" s="80"/>
      <c r="D978" s="91"/>
      <c r="E978" s="80"/>
      <c r="F978" s="6"/>
      <c r="G978" s="6"/>
      <c r="H978" s="25"/>
      <c r="I978" s="133"/>
      <c r="J978" s="6"/>
      <c r="K978" s="6"/>
      <c r="L978" s="6"/>
      <c r="M978" s="6"/>
      <c r="N978" s="84"/>
      <c r="O978" s="80" t="str">
        <f>IF(N978="","",VLOOKUP(N978,ROLES!B:C,2,FALSE))</f>
        <v/>
      </c>
      <c r="P978" s="6"/>
      <c r="Q978" s="6"/>
      <c r="R978" s="16">
        <f t="shared" si="32"/>
        <v>0</v>
      </c>
      <c r="S978" s="16"/>
      <c r="T978" s="80" t="str">
        <f>IF(S978="","",VLOOKUP(S978,VALORACION!F:G,2,FALSE))</f>
        <v/>
      </c>
      <c r="U978" s="11"/>
      <c r="V978" s="80" t="str">
        <f>IF(U978="","",VLOOKUP(U978,ROLES!G:H,2,FALSE))</f>
        <v/>
      </c>
      <c r="W978" s="6"/>
      <c r="X978" s="6"/>
      <c r="Y978" s="95" t="e">
        <f t="shared" si="31"/>
        <v>#VALUE!</v>
      </c>
      <c r="Z978" s="6"/>
      <c r="AA978" s="6"/>
    </row>
    <row r="979" spans="1:27" ht="28.95" customHeight="1" x14ac:dyDescent="0.3">
      <c r="A979" s="91"/>
      <c r="B979" s="91"/>
      <c r="C979" s="80"/>
      <c r="D979" s="91"/>
      <c r="E979" s="80"/>
      <c r="F979" s="6"/>
      <c r="G979" s="6"/>
      <c r="H979" s="25"/>
      <c r="I979" s="133"/>
      <c r="J979" s="6"/>
      <c r="K979" s="6"/>
      <c r="L979" s="6"/>
      <c r="M979" s="6"/>
      <c r="N979" s="84"/>
      <c r="O979" s="80" t="str">
        <f>IF(N979="","",VLOOKUP(N979,ROLES!B:C,2,FALSE))</f>
        <v/>
      </c>
      <c r="P979" s="6"/>
      <c r="Q979" s="6"/>
      <c r="R979" s="16">
        <f t="shared" si="32"/>
        <v>0</v>
      </c>
      <c r="S979" s="16"/>
      <c r="T979" s="80" t="str">
        <f>IF(S979="","",VLOOKUP(S979,VALORACION!F:G,2,FALSE))</f>
        <v/>
      </c>
      <c r="U979" s="11"/>
      <c r="V979" s="80" t="str">
        <f>IF(U979="","",VLOOKUP(U979,ROLES!G:H,2,FALSE))</f>
        <v/>
      </c>
      <c r="W979" s="6"/>
      <c r="X979" s="6"/>
      <c r="Y979" s="95" t="e">
        <f t="shared" si="31"/>
        <v>#VALUE!</v>
      </c>
      <c r="Z979" s="6"/>
      <c r="AA979" s="6"/>
    </row>
    <row r="980" spans="1:27" ht="28.95" customHeight="1" x14ac:dyDescent="0.3">
      <c r="A980" s="91"/>
      <c r="B980" s="91"/>
      <c r="C980" s="80"/>
      <c r="D980" s="91"/>
      <c r="E980" s="80"/>
      <c r="F980" s="6"/>
      <c r="G980" s="6"/>
      <c r="H980" s="25"/>
      <c r="I980" s="133"/>
      <c r="J980" s="6"/>
      <c r="K980" s="6"/>
      <c r="L980" s="6"/>
      <c r="M980" s="6"/>
      <c r="N980" s="84"/>
      <c r="O980" s="80" t="str">
        <f>IF(N980="","",VLOOKUP(N980,ROLES!B:C,2,FALSE))</f>
        <v/>
      </c>
      <c r="P980" s="6"/>
      <c r="Q980" s="6"/>
      <c r="R980" s="16">
        <f t="shared" si="32"/>
        <v>0</v>
      </c>
      <c r="S980" s="16"/>
      <c r="T980" s="80" t="str">
        <f>IF(S980="","",VLOOKUP(S980,VALORACION!F:G,2,FALSE))</f>
        <v/>
      </c>
      <c r="U980" s="11"/>
      <c r="V980" s="80" t="str">
        <f>IF(U980="","",VLOOKUP(U980,ROLES!G:H,2,FALSE))</f>
        <v/>
      </c>
      <c r="W980" s="6"/>
      <c r="X980" s="6"/>
      <c r="Y980" s="95" t="e">
        <f t="shared" si="31"/>
        <v>#VALUE!</v>
      </c>
      <c r="Z980" s="6"/>
      <c r="AA980" s="6"/>
    </row>
    <row r="981" spans="1:27" ht="28.95" customHeight="1" x14ac:dyDescent="0.3">
      <c r="A981" s="91"/>
      <c r="B981" s="91"/>
      <c r="C981" s="80"/>
      <c r="D981" s="91"/>
      <c r="E981" s="80"/>
      <c r="F981" s="6"/>
      <c r="G981" s="6"/>
      <c r="H981" s="25"/>
      <c r="I981" s="133"/>
      <c r="J981" s="6"/>
      <c r="K981" s="6"/>
      <c r="L981" s="6"/>
      <c r="M981" s="6"/>
      <c r="N981" s="84"/>
      <c r="O981" s="80" t="str">
        <f>IF(N981="","",VLOOKUP(N981,ROLES!B:C,2,FALSE))</f>
        <v/>
      </c>
      <c r="P981" s="6"/>
      <c r="Q981" s="6"/>
      <c r="R981" s="16">
        <f t="shared" si="32"/>
        <v>0</v>
      </c>
      <c r="S981" s="16"/>
      <c r="T981" s="80" t="str">
        <f>IF(S981="","",VLOOKUP(S981,VALORACION!F:G,2,FALSE))</f>
        <v/>
      </c>
      <c r="U981" s="11"/>
      <c r="V981" s="80" t="str">
        <f>IF(U981="","",VLOOKUP(U981,ROLES!G:H,2,FALSE))</f>
        <v/>
      </c>
      <c r="W981" s="6"/>
      <c r="X981" s="6"/>
      <c r="Y981" s="95" t="e">
        <f t="shared" si="31"/>
        <v>#VALUE!</v>
      </c>
      <c r="Z981" s="6"/>
      <c r="AA981" s="6"/>
    </row>
    <row r="982" spans="1:27" ht="28.95" customHeight="1" x14ac:dyDescent="0.3">
      <c r="A982" s="91"/>
      <c r="B982" s="91"/>
      <c r="C982" s="80"/>
      <c r="D982" s="91"/>
      <c r="E982" s="80"/>
      <c r="F982" s="6"/>
      <c r="G982" s="6"/>
      <c r="H982" s="25"/>
      <c r="I982" s="133"/>
      <c r="J982" s="6"/>
      <c r="K982" s="6"/>
      <c r="L982" s="6"/>
      <c r="M982" s="6"/>
      <c r="N982" s="84"/>
      <c r="O982" s="80" t="str">
        <f>IF(N982="","",VLOOKUP(N982,ROLES!B:C,2,FALSE))</f>
        <v/>
      </c>
      <c r="P982" s="6"/>
      <c r="Q982" s="6"/>
      <c r="R982" s="16">
        <f t="shared" si="32"/>
        <v>0</v>
      </c>
      <c r="S982" s="16"/>
      <c r="T982" s="80" t="str">
        <f>IF(S982="","",VLOOKUP(S982,VALORACION!F:G,2,FALSE))</f>
        <v/>
      </c>
      <c r="U982" s="11"/>
      <c r="V982" s="80" t="str">
        <f>IF(U982="","",VLOOKUP(U982,ROLES!G:H,2,FALSE))</f>
        <v/>
      </c>
      <c r="W982" s="6"/>
      <c r="X982" s="6"/>
      <c r="Y982" s="95" t="e">
        <f t="shared" si="31"/>
        <v>#VALUE!</v>
      </c>
      <c r="Z982" s="6"/>
      <c r="AA982" s="6"/>
    </row>
    <row r="983" spans="1:27" ht="28.95" customHeight="1" x14ac:dyDescent="0.3">
      <c r="A983" s="91"/>
      <c r="B983" s="91"/>
      <c r="C983" s="80"/>
      <c r="D983" s="91"/>
      <c r="E983" s="80"/>
      <c r="F983" s="6"/>
      <c r="G983" s="6"/>
      <c r="H983" s="25"/>
      <c r="I983" s="133"/>
      <c r="J983" s="6"/>
      <c r="K983" s="6"/>
      <c r="L983" s="6"/>
      <c r="M983" s="6"/>
      <c r="N983" s="84"/>
      <c r="O983" s="80" t="str">
        <f>IF(N983="","",VLOOKUP(N983,ROLES!B:C,2,FALSE))</f>
        <v/>
      </c>
      <c r="P983" s="6"/>
      <c r="Q983" s="6"/>
      <c r="R983" s="16">
        <f t="shared" si="32"/>
        <v>0</v>
      </c>
      <c r="S983" s="16"/>
      <c r="T983" s="80" t="str">
        <f>IF(S983="","",VLOOKUP(S983,VALORACION!F:G,2,FALSE))</f>
        <v/>
      </c>
      <c r="U983" s="11"/>
      <c r="V983" s="80" t="str">
        <f>IF(U983="","",VLOOKUP(U983,ROLES!G:H,2,FALSE))</f>
        <v/>
      </c>
      <c r="W983" s="6"/>
      <c r="X983" s="6"/>
      <c r="Y983" s="95" t="e">
        <f t="shared" si="31"/>
        <v>#VALUE!</v>
      </c>
      <c r="Z983" s="6"/>
      <c r="AA983" s="6"/>
    </row>
    <row r="984" spans="1:27" ht="28.95" customHeight="1" x14ac:dyDescent="0.3">
      <c r="A984" s="91"/>
      <c r="B984" s="91"/>
      <c r="C984" s="80"/>
      <c r="D984" s="91"/>
      <c r="E984" s="80"/>
      <c r="F984" s="6"/>
      <c r="G984" s="6"/>
      <c r="H984" s="25"/>
      <c r="I984" s="133"/>
      <c r="J984" s="6"/>
      <c r="K984" s="6"/>
      <c r="L984" s="6"/>
      <c r="M984" s="6"/>
      <c r="N984" s="84"/>
      <c r="O984" s="80" t="str">
        <f>IF(N984="","",VLOOKUP(N984,ROLES!B:C,2,FALSE))</f>
        <v/>
      </c>
      <c r="P984" s="6"/>
      <c r="Q984" s="6"/>
      <c r="R984" s="16">
        <f t="shared" si="32"/>
        <v>0</v>
      </c>
      <c r="S984" s="16"/>
      <c r="T984" s="80" t="str">
        <f>IF(S984="","",VLOOKUP(S984,VALORACION!F:G,2,FALSE))</f>
        <v/>
      </c>
      <c r="U984" s="11"/>
      <c r="V984" s="80" t="str">
        <f>IF(U984="","",VLOOKUP(U984,ROLES!G:H,2,FALSE))</f>
        <v/>
      </c>
      <c r="W984" s="6"/>
      <c r="X984" s="6"/>
      <c r="Y984" s="95" t="e">
        <f t="shared" si="31"/>
        <v>#VALUE!</v>
      </c>
      <c r="Z984" s="6"/>
      <c r="AA984" s="6"/>
    </row>
    <row r="985" spans="1:27" ht="28.95" customHeight="1" x14ac:dyDescent="0.3">
      <c r="A985" s="91"/>
      <c r="B985" s="91"/>
      <c r="C985" s="80"/>
      <c r="D985" s="91"/>
      <c r="E985" s="80"/>
      <c r="F985" s="6"/>
      <c r="G985" s="6"/>
      <c r="H985" s="25"/>
      <c r="I985" s="133"/>
      <c r="J985" s="6"/>
      <c r="K985" s="6"/>
      <c r="L985" s="6"/>
      <c r="M985" s="6"/>
      <c r="N985" s="84"/>
      <c r="O985" s="80" t="str">
        <f>IF(N985="","",VLOOKUP(N985,ROLES!B:C,2,FALSE))</f>
        <v/>
      </c>
      <c r="P985" s="6"/>
      <c r="Q985" s="6"/>
      <c r="R985" s="16">
        <f t="shared" si="32"/>
        <v>0</v>
      </c>
      <c r="S985" s="16"/>
      <c r="T985" s="80" t="str">
        <f>IF(S985="","",VLOOKUP(S985,VALORACION!F:G,2,FALSE))</f>
        <v/>
      </c>
      <c r="U985" s="11"/>
      <c r="V985" s="80" t="str">
        <f>IF(U985="","",VLOOKUP(U985,ROLES!G:H,2,FALSE))</f>
        <v/>
      </c>
      <c r="W985" s="6"/>
      <c r="X985" s="6"/>
      <c r="Y985" s="95" t="e">
        <f t="shared" si="31"/>
        <v>#VALUE!</v>
      </c>
      <c r="Z985" s="6"/>
      <c r="AA985" s="6"/>
    </row>
    <row r="986" spans="1:27" ht="28.95" customHeight="1" x14ac:dyDescent="0.3">
      <c r="A986" s="91"/>
      <c r="B986" s="91"/>
      <c r="C986" s="80"/>
      <c r="D986" s="91"/>
      <c r="E986" s="80"/>
      <c r="F986" s="6"/>
      <c r="G986" s="6"/>
      <c r="H986" s="25"/>
      <c r="I986" s="133"/>
      <c r="J986" s="6"/>
      <c r="K986" s="6"/>
      <c r="L986" s="6"/>
      <c r="M986" s="6"/>
      <c r="N986" s="84"/>
      <c r="O986" s="80" t="str">
        <f>IF(N986="","",VLOOKUP(N986,ROLES!B:C,2,FALSE))</f>
        <v/>
      </c>
      <c r="P986" s="6"/>
      <c r="Q986" s="6"/>
      <c r="R986" s="16">
        <f t="shared" si="32"/>
        <v>0</v>
      </c>
      <c r="S986" s="16"/>
      <c r="T986" s="80" t="str">
        <f>IF(S986="","",VLOOKUP(S986,VALORACION!F:G,2,FALSE))</f>
        <v/>
      </c>
      <c r="U986" s="11"/>
      <c r="V986" s="80" t="str">
        <f>IF(U986="","",VLOOKUP(U986,ROLES!G:H,2,FALSE))</f>
        <v/>
      </c>
      <c r="W986" s="6"/>
      <c r="X986" s="6"/>
      <c r="Y986" s="95" t="e">
        <f t="shared" si="31"/>
        <v>#VALUE!</v>
      </c>
      <c r="Z986" s="6"/>
      <c r="AA986" s="6"/>
    </row>
    <row r="987" spans="1:27" ht="28.95" customHeight="1" x14ac:dyDescent="0.3">
      <c r="A987" s="91"/>
      <c r="B987" s="91"/>
      <c r="C987" s="80"/>
      <c r="D987" s="91"/>
      <c r="E987" s="80"/>
      <c r="F987" s="6"/>
      <c r="G987" s="6"/>
      <c r="H987" s="25"/>
      <c r="I987" s="133"/>
      <c r="J987" s="6"/>
      <c r="K987" s="6"/>
      <c r="L987" s="6"/>
      <c r="M987" s="6"/>
      <c r="N987" s="84"/>
      <c r="O987" s="80" t="str">
        <f>IF(N987="","",VLOOKUP(N987,ROLES!B:C,2,FALSE))</f>
        <v/>
      </c>
      <c r="P987" s="6"/>
      <c r="Q987" s="6"/>
      <c r="R987" s="16">
        <f t="shared" si="32"/>
        <v>0</v>
      </c>
      <c r="S987" s="16"/>
      <c r="T987" s="80" t="str">
        <f>IF(S987="","",VLOOKUP(S987,VALORACION!F:G,2,FALSE))</f>
        <v/>
      </c>
      <c r="U987" s="11"/>
      <c r="V987" s="80" t="str">
        <f>IF(U987="","",VLOOKUP(U987,ROLES!G:H,2,FALSE))</f>
        <v/>
      </c>
      <c r="W987" s="6"/>
      <c r="X987" s="6"/>
      <c r="Y987" s="95" t="e">
        <f t="shared" si="31"/>
        <v>#VALUE!</v>
      </c>
      <c r="Z987" s="6"/>
      <c r="AA987" s="6"/>
    </row>
    <row r="988" spans="1:27" ht="28.95" customHeight="1" x14ac:dyDescent="0.3">
      <c r="A988" s="91"/>
      <c r="B988" s="91"/>
      <c r="C988" s="80"/>
      <c r="D988" s="91"/>
      <c r="E988" s="80"/>
      <c r="F988" s="6"/>
      <c r="G988" s="6"/>
      <c r="H988" s="25"/>
      <c r="I988" s="133"/>
      <c r="J988" s="6"/>
      <c r="K988" s="6"/>
      <c r="L988" s="6"/>
      <c r="M988" s="6"/>
      <c r="N988" s="84"/>
      <c r="O988" s="80" t="str">
        <f>IF(N988="","",VLOOKUP(N988,ROLES!B:C,2,FALSE))</f>
        <v/>
      </c>
      <c r="P988" s="6"/>
      <c r="Q988" s="6"/>
      <c r="R988" s="16">
        <f t="shared" si="32"/>
        <v>0</v>
      </c>
      <c r="S988" s="16"/>
      <c r="T988" s="80" t="str">
        <f>IF(S988="","",VLOOKUP(S988,VALORACION!F:G,2,FALSE))</f>
        <v/>
      </c>
      <c r="U988" s="11"/>
      <c r="V988" s="80" t="str">
        <f>IF(U988="","",VLOOKUP(U988,ROLES!G:H,2,FALSE))</f>
        <v/>
      </c>
      <c r="W988" s="6"/>
      <c r="X988" s="6"/>
      <c r="Y988" s="95" t="e">
        <f t="shared" si="31"/>
        <v>#VALUE!</v>
      </c>
      <c r="Z988" s="6"/>
      <c r="AA988" s="6"/>
    </row>
    <row r="989" spans="1:27" ht="28.95" customHeight="1" x14ac:dyDescent="0.3">
      <c r="A989" s="91"/>
      <c r="B989" s="91"/>
      <c r="C989" s="80"/>
      <c r="D989" s="91"/>
      <c r="E989" s="80"/>
      <c r="F989" s="6"/>
      <c r="G989" s="6"/>
      <c r="H989" s="25"/>
      <c r="I989" s="133"/>
      <c r="J989" s="6"/>
      <c r="K989" s="6"/>
      <c r="L989" s="6"/>
      <c r="M989" s="6"/>
      <c r="N989" s="84"/>
      <c r="O989" s="80" t="str">
        <f>IF(N989="","",VLOOKUP(N989,ROLES!B:C,2,FALSE))</f>
        <v/>
      </c>
      <c r="P989" s="6"/>
      <c r="Q989" s="6"/>
      <c r="R989" s="16">
        <f t="shared" si="32"/>
        <v>0</v>
      </c>
      <c r="S989" s="16"/>
      <c r="T989" s="80" t="str">
        <f>IF(S989="","",VLOOKUP(S989,VALORACION!F:G,2,FALSE))</f>
        <v/>
      </c>
      <c r="U989" s="11"/>
      <c r="V989" s="80" t="str">
        <f>IF(U989="","",VLOOKUP(U989,ROLES!G:H,2,FALSE))</f>
        <v/>
      </c>
      <c r="W989" s="6"/>
      <c r="X989" s="6"/>
      <c r="Y989" s="95" t="e">
        <f t="shared" si="31"/>
        <v>#VALUE!</v>
      </c>
      <c r="Z989" s="6"/>
      <c r="AA989" s="6"/>
    </row>
    <row r="990" spans="1:27" ht="28.95" customHeight="1" x14ac:dyDescent="0.3">
      <c r="A990" s="91"/>
      <c r="B990" s="91"/>
      <c r="C990" s="80"/>
      <c r="D990" s="91"/>
      <c r="E990" s="80"/>
      <c r="F990" s="6"/>
      <c r="G990" s="6"/>
      <c r="H990" s="25"/>
      <c r="I990" s="133"/>
      <c r="J990" s="6"/>
      <c r="K990" s="6"/>
      <c r="L990" s="6"/>
      <c r="M990" s="6"/>
      <c r="N990" s="84"/>
      <c r="O990" s="80" t="str">
        <f>IF(N990="","",VLOOKUP(N990,ROLES!B:C,2,FALSE))</f>
        <v/>
      </c>
      <c r="P990" s="6"/>
      <c r="Q990" s="6"/>
      <c r="R990" s="16">
        <f t="shared" si="32"/>
        <v>0</v>
      </c>
      <c r="S990" s="16"/>
      <c r="T990" s="80" t="str">
        <f>IF(S990="","",VLOOKUP(S990,VALORACION!F:G,2,FALSE))</f>
        <v/>
      </c>
      <c r="U990" s="11"/>
      <c r="V990" s="80" t="str">
        <f>IF(U990="","",VLOOKUP(U990,ROLES!G:H,2,FALSE))</f>
        <v/>
      </c>
      <c r="W990" s="6"/>
      <c r="X990" s="6"/>
      <c r="Y990" s="95" t="e">
        <f t="shared" si="31"/>
        <v>#VALUE!</v>
      </c>
      <c r="Z990" s="6"/>
      <c r="AA990" s="6"/>
    </row>
    <row r="991" spans="1:27" ht="28.95" customHeight="1" x14ac:dyDescent="0.3">
      <c r="A991" s="91"/>
      <c r="B991" s="91"/>
      <c r="C991" s="80"/>
      <c r="D991" s="91"/>
      <c r="E991" s="80"/>
      <c r="F991" s="6"/>
      <c r="G991" s="6"/>
      <c r="H991" s="25"/>
      <c r="I991" s="133"/>
      <c r="J991" s="6"/>
      <c r="K991" s="6"/>
      <c r="L991" s="6"/>
      <c r="M991" s="6"/>
      <c r="N991" s="84"/>
      <c r="O991" s="80" t="str">
        <f>IF(N991="","",VLOOKUP(N991,ROLES!B:C,2,FALSE))</f>
        <v/>
      </c>
      <c r="P991" s="6"/>
      <c r="Q991" s="6"/>
      <c r="R991" s="16">
        <f t="shared" si="32"/>
        <v>0</v>
      </c>
      <c r="S991" s="16"/>
      <c r="T991" s="80" t="str">
        <f>IF(S991="","",VLOOKUP(S991,VALORACION!F:G,2,FALSE))</f>
        <v/>
      </c>
      <c r="U991" s="11"/>
      <c r="V991" s="80" t="str">
        <f>IF(U991="","",VLOOKUP(U991,ROLES!G:H,2,FALSE))</f>
        <v/>
      </c>
      <c r="W991" s="6"/>
      <c r="X991" s="6"/>
      <c r="Y991" s="95" t="e">
        <f t="shared" si="31"/>
        <v>#VALUE!</v>
      </c>
      <c r="Z991" s="6"/>
      <c r="AA991" s="6"/>
    </row>
    <row r="992" spans="1:27" ht="28.95" customHeight="1" x14ac:dyDescent="0.3">
      <c r="A992" s="91"/>
      <c r="B992" s="91"/>
      <c r="C992" s="80"/>
      <c r="D992" s="91"/>
      <c r="E992" s="80"/>
      <c r="F992" s="6"/>
      <c r="G992" s="6"/>
      <c r="H992" s="25"/>
      <c r="I992" s="133"/>
      <c r="J992" s="6"/>
      <c r="K992" s="6"/>
      <c r="L992" s="6"/>
      <c r="M992" s="6"/>
      <c r="N992" s="84"/>
      <c r="O992" s="80" t="str">
        <f>IF(N992="","",VLOOKUP(N992,ROLES!B:C,2,FALSE))</f>
        <v/>
      </c>
      <c r="P992" s="6"/>
      <c r="Q992" s="6"/>
      <c r="R992" s="16">
        <f t="shared" si="32"/>
        <v>0</v>
      </c>
      <c r="S992" s="16"/>
      <c r="T992" s="80" t="str">
        <f>IF(S992="","",VLOOKUP(S992,VALORACION!F:G,2,FALSE))</f>
        <v/>
      </c>
      <c r="U992" s="11"/>
      <c r="V992" s="80" t="str">
        <f>IF(U992="","",VLOOKUP(U992,ROLES!G:H,2,FALSE))</f>
        <v/>
      </c>
      <c r="W992" s="6"/>
      <c r="X992" s="6"/>
      <c r="Y992" s="95" t="e">
        <f t="shared" si="31"/>
        <v>#VALUE!</v>
      </c>
      <c r="Z992" s="6"/>
      <c r="AA992" s="6"/>
    </row>
    <row r="993" spans="1:27" ht="28.95" customHeight="1" x14ac:dyDescent="0.3">
      <c r="A993" s="91"/>
      <c r="B993" s="91"/>
      <c r="C993" s="80"/>
      <c r="D993" s="91"/>
      <c r="E993" s="80"/>
      <c r="F993" s="6"/>
      <c r="G993" s="6"/>
      <c r="H993" s="25"/>
      <c r="I993" s="133"/>
      <c r="J993" s="6"/>
      <c r="K993" s="6"/>
      <c r="L993" s="6"/>
      <c r="M993" s="6"/>
      <c r="N993" s="84"/>
      <c r="O993" s="80" t="str">
        <f>IF(N993="","",VLOOKUP(N993,ROLES!B:C,2,FALSE))</f>
        <v/>
      </c>
      <c r="P993" s="6"/>
      <c r="Q993" s="6"/>
      <c r="R993" s="16">
        <f t="shared" si="32"/>
        <v>0</v>
      </c>
      <c r="S993" s="16"/>
      <c r="T993" s="80" t="str">
        <f>IF(S993="","",VLOOKUP(S993,VALORACION!F:G,2,FALSE))</f>
        <v/>
      </c>
      <c r="U993" s="11"/>
      <c r="V993" s="80" t="str">
        <f>IF(U993="","",VLOOKUP(U993,ROLES!G:H,2,FALSE))</f>
        <v/>
      </c>
      <c r="W993" s="6"/>
      <c r="X993" s="6"/>
      <c r="Y993" s="95" t="e">
        <f t="shared" si="31"/>
        <v>#VALUE!</v>
      </c>
      <c r="Z993" s="6"/>
      <c r="AA993" s="6"/>
    </row>
    <row r="994" spans="1:27" ht="28.95" customHeight="1" x14ac:dyDescent="0.3">
      <c r="A994" s="91"/>
      <c r="B994" s="91"/>
      <c r="C994" s="80"/>
      <c r="D994" s="91"/>
      <c r="E994" s="80"/>
      <c r="F994" s="6"/>
      <c r="G994" s="6"/>
      <c r="H994" s="25"/>
      <c r="I994" s="133"/>
      <c r="J994" s="6"/>
      <c r="K994" s="6"/>
      <c r="L994" s="6"/>
      <c r="M994" s="6"/>
      <c r="N994" s="84"/>
      <c r="O994" s="80" t="str">
        <f>IF(N994="","",VLOOKUP(N994,ROLES!B:C,2,FALSE))</f>
        <v/>
      </c>
      <c r="P994" s="6"/>
      <c r="Q994" s="6"/>
      <c r="R994" s="16">
        <f t="shared" si="32"/>
        <v>0</v>
      </c>
      <c r="S994" s="16"/>
      <c r="T994" s="80" t="str">
        <f>IF(S994="","",VLOOKUP(S994,VALORACION!F:G,2,FALSE))</f>
        <v/>
      </c>
      <c r="U994" s="11"/>
      <c r="V994" s="80" t="str">
        <f>IF(U994="","",VLOOKUP(U994,ROLES!G:H,2,FALSE))</f>
        <v/>
      </c>
      <c r="W994" s="6"/>
      <c r="X994" s="6"/>
      <c r="Y994" s="95" t="e">
        <f t="shared" si="31"/>
        <v>#VALUE!</v>
      </c>
      <c r="Z994" s="6"/>
      <c r="AA994" s="6"/>
    </row>
    <row r="995" spans="1:27" ht="28.95" customHeight="1" x14ac:dyDescent="0.3">
      <c r="A995" s="91"/>
      <c r="B995" s="91"/>
      <c r="C995" s="80"/>
      <c r="D995" s="91"/>
      <c r="E995" s="80"/>
      <c r="F995" s="6"/>
      <c r="G995" s="6"/>
      <c r="H995" s="25"/>
      <c r="I995" s="133"/>
      <c r="J995" s="6"/>
      <c r="K995" s="6"/>
      <c r="L995" s="6"/>
      <c r="M995" s="6"/>
      <c r="N995" s="84"/>
      <c r="O995" s="80" t="str">
        <f>IF(N995="","",VLOOKUP(N995,ROLES!B:C,2,FALSE))</f>
        <v/>
      </c>
      <c r="P995" s="6"/>
      <c r="Q995" s="6"/>
      <c r="R995" s="16">
        <f t="shared" si="32"/>
        <v>0</v>
      </c>
      <c r="S995" s="16"/>
      <c r="T995" s="80" t="str">
        <f>IF(S995="","",VLOOKUP(S995,VALORACION!F:G,2,FALSE))</f>
        <v/>
      </c>
      <c r="U995" s="11"/>
      <c r="V995" s="80" t="str">
        <f>IF(U995="","",VLOOKUP(U995,ROLES!G:H,2,FALSE))</f>
        <v/>
      </c>
      <c r="W995" s="6"/>
      <c r="X995" s="6"/>
      <c r="Y995" s="95" t="e">
        <f t="shared" si="31"/>
        <v>#VALUE!</v>
      </c>
      <c r="Z995" s="6"/>
      <c r="AA995" s="6"/>
    </row>
    <row r="996" spans="1:27" ht="28.95" customHeight="1" x14ac:dyDescent="0.3">
      <c r="A996" s="91"/>
      <c r="B996" s="91"/>
      <c r="C996" s="80"/>
      <c r="D996" s="91"/>
      <c r="E996" s="80"/>
      <c r="F996" s="6"/>
      <c r="G996" s="6"/>
      <c r="H996" s="25"/>
      <c r="I996" s="133"/>
      <c r="J996" s="6"/>
      <c r="K996" s="6"/>
      <c r="L996" s="6"/>
      <c r="M996" s="6"/>
      <c r="N996" s="84"/>
      <c r="O996" s="80" t="str">
        <f>IF(N996="","",VLOOKUP(N996,ROLES!B:C,2,FALSE))</f>
        <v/>
      </c>
      <c r="P996" s="6"/>
      <c r="Q996" s="6"/>
      <c r="R996" s="16">
        <f t="shared" si="32"/>
        <v>0</v>
      </c>
      <c r="S996" s="16"/>
      <c r="T996" s="80" t="str">
        <f>IF(S996="","",VLOOKUP(S996,VALORACION!F:G,2,FALSE))</f>
        <v/>
      </c>
      <c r="U996" s="11"/>
      <c r="V996" s="80" t="str">
        <f>IF(U996="","",VLOOKUP(U996,ROLES!G:H,2,FALSE))</f>
        <v/>
      </c>
      <c r="W996" s="6"/>
      <c r="X996" s="6"/>
      <c r="Y996" s="95" t="e">
        <f t="shared" si="31"/>
        <v>#VALUE!</v>
      </c>
      <c r="Z996" s="6"/>
      <c r="AA996" s="6"/>
    </row>
    <row r="997" spans="1:27" ht="28.95" customHeight="1" x14ac:dyDescent="0.3">
      <c r="A997" s="91"/>
      <c r="B997" s="91"/>
      <c r="C997" s="80"/>
      <c r="D997" s="91"/>
      <c r="E997" s="80"/>
      <c r="F997" s="6"/>
      <c r="G997" s="6"/>
      <c r="H997" s="25"/>
      <c r="I997" s="133"/>
      <c r="J997" s="6"/>
      <c r="K997" s="6"/>
      <c r="L997" s="6"/>
      <c r="M997" s="6"/>
      <c r="N997" s="84"/>
      <c r="O997" s="80" t="str">
        <f>IF(N997="","",VLOOKUP(N997,ROLES!B:C,2,FALSE))</f>
        <v/>
      </c>
      <c r="P997" s="6"/>
      <c r="Q997" s="6"/>
      <c r="R997" s="16">
        <f t="shared" si="32"/>
        <v>0</v>
      </c>
      <c r="S997" s="16"/>
      <c r="T997" s="80" t="str">
        <f>IF(S997="","",VLOOKUP(S997,VALORACION!F:G,2,FALSE))</f>
        <v/>
      </c>
      <c r="U997" s="11"/>
      <c r="V997" s="80" t="str">
        <f>IF(U997="","",VLOOKUP(U997,ROLES!G:H,2,FALSE))</f>
        <v/>
      </c>
      <c r="W997" s="6"/>
      <c r="X997" s="6"/>
      <c r="Y997" s="95" t="e">
        <f t="shared" si="31"/>
        <v>#VALUE!</v>
      </c>
      <c r="Z997" s="6"/>
      <c r="AA997" s="6"/>
    </row>
    <row r="998" spans="1:27" ht="28.95" customHeight="1" x14ac:dyDescent="0.3">
      <c r="A998" s="91"/>
      <c r="B998" s="91"/>
      <c r="C998" s="80"/>
      <c r="D998" s="91"/>
      <c r="E998" s="80"/>
      <c r="F998" s="6"/>
      <c r="G998" s="6"/>
      <c r="H998" s="25"/>
      <c r="I998" s="133"/>
      <c r="J998" s="6"/>
      <c r="K998" s="6"/>
      <c r="L998" s="6"/>
      <c r="M998" s="6"/>
      <c r="N998" s="84"/>
      <c r="O998" s="80" t="str">
        <f>IF(N998="","",VLOOKUP(N998,ROLES!B:C,2,FALSE))</f>
        <v/>
      </c>
      <c r="P998" s="6"/>
      <c r="Q998" s="6"/>
      <c r="R998" s="16">
        <f t="shared" si="32"/>
        <v>0</v>
      </c>
      <c r="S998" s="16"/>
      <c r="T998" s="80" t="str">
        <f>IF(S998="","",VLOOKUP(S998,VALORACION!F:G,2,FALSE))</f>
        <v/>
      </c>
      <c r="U998" s="11"/>
      <c r="V998" s="80" t="str">
        <f>IF(U998="","",VLOOKUP(U998,ROLES!G:H,2,FALSE))</f>
        <v/>
      </c>
      <c r="W998" s="6"/>
      <c r="X998" s="6"/>
      <c r="Y998" s="95" t="e">
        <f t="shared" si="31"/>
        <v>#VALUE!</v>
      </c>
      <c r="Z998" s="6"/>
      <c r="AA998" s="6"/>
    </row>
    <row r="999" spans="1:27" ht="28.95" customHeight="1" x14ac:dyDescent="0.3">
      <c r="A999" s="91"/>
      <c r="B999" s="91"/>
      <c r="C999" s="80"/>
      <c r="D999" s="91"/>
      <c r="E999" s="80"/>
      <c r="F999" s="6"/>
      <c r="G999" s="6"/>
      <c r="H999" s="25"/>
      <c r="I999" s="133"/>
      <c r="J999" s="6"/>
      <c r="K999" s="6"/>
      <c r="L999" s="6"/>
      <c r="M999" s="6"/>
      <c r="N999" s="84"/>
      <c r="O999" s="80" t="str">
        <f>IF(N999="","",VLOOKUP(N999,ROLES!B:C,2,FALSE))</f>
        <v/>
      </c>
      <c r="P999" s="6"/>
      <c r="Q999" s="6"/>
      <c r="R999" s="16">
        <f t="shared" si="32"/>
        <v>0</v>
      </c>
      <c r="S999" s="16"/>
      <c r="T999" s="80" t="str">
        <f>IF(S999="","",VLOOKUP(S999,VALORACION!F:G,2,FALSE))</f>
        <v/>
      </c>
      <c r="U999" s="11"/>
      <c r="V999" s="80" t="str">
        <f>IF(U999="","",VLOOKUP(U999,ROLES!G:H,2,FALSE))</f>
        <v/>
      </c>
      <c r="W999" s="6"/>
      <c r="X999" s="6"/>
      <c r="Y999" s="95" t="e">
        <f t="shared" si="31"/>
        <v>#VALUE!</v>
      </c>
      <c r="Z999" s="6"/>
      <c r="AA999" s="6"/>
    </row>
    <row r="1000" spans="1:27" ht="28.95" customHeight="1" x14ac:dyDescent="0.3">
      <c r="A1000" s="91"/>
      <c r="B1000" s="91"/>
      <c r="C1000" s="80"/>
      <c r="D1000" s="91"/>
      <c r="E1000" s="80"/>
      <c r="F1000" s="6"/>
      <c r="G1000" s="6"/>
      <c r="H1000" s="25"/>
      <c r="I1000" s="133"/>
      <c r="J1000" s="6"/>
      <c r="K1000" s="6"/>
      <c r="L1000" s="6"/>
      <c r="M1000" s="6"/>
      <c r="N1000" s="84"/>
      <c r="O1000" s="80" t="str">
        <f>IF(N1000="","",VLOOKUP(N1000,ROLES!B:C,2,FALSE))</f>
        <v/>
      </c>
      <c r="P1000" s="6"/>
      <c r="Q1000" s="6"/>
      <c r="R1000" s="16">
        <f t="shared" si="32"/>
        <v>0</v>
      </c>
      <c r="S1000" s="16"/>
      <c r="T1000" s="80" t="str">
        <f>IF(S1000="","",VLOOKUP(S1000,VALORACION!F:G,2,FALSE))</f>
        <v/>
      </c>
      <c r="U1000" s="11"/>
      <c r="V1000" s="80" t="str">
        <f>IF(U1000="","",VLOOKUP(U1000,ROLES!G:H,2,FALSE))</f>
        <v/>
      </c>
      <c r="W1000" s="6"/>
      <c r="X1000" s="6"/>
      <c r="Y1000" s="95" t="e">
        <f t="shared" si="31"/>
        <v>#VALUE!</v>
      </c>
      <c r="Z1000" s="6"/>
      <c r="AA1000" s="6"/>
    </row>
    <row r="1001" spans="1:27" ht="28.95" customHeight="1" x14ac:dyDescent="0.3">
      <c r="A1001" s="91"/>
      <c r="B1001" s="91"/>
      <c r="C1001" s="80"/>
      <c r="D1001" s="91"/>
      <c r="E1001" s="80"/>
      <c r="F1001" s="6"/>
      <c r="G1001" s="6"/>
      <c r="H1001" s="25"/>
      <c r="I1001" s="133"/>
      <c r="J1001" s="6"/>
      <c r="K1001" s="6"/>
      <c r="L1001" s="6"/>
      <c r="M1001" s="6"/>
      <c r="N1001" s="84"/>
      <c r="O1001" s="80" t="str">
        <f>IF(N1001="","",VLOOKUP(N1001,ROLES!B:C,2,FALSE))</f>
        <v/>
      </c>
      <c r="P1001" s="6"/>
      <c r="Q1001" s="6"/>
      <c r="R1001" s="16">
        <f t="shared" si="32"/>
        <v>0</v>
      </c>
      <c r="S1001" s="16"/>
      <c r="T1001" s="80" t="str">
        <f>IF(S1001="","",VLOOKUP(S1001,VALORACION!F:G,2,FALSE))</f>
        <v/>
      </c>
      <c r="U1001" s="11"/>
      <c r="V1001" s="80" t="str">
        <f>IF(U1001="","",VLOOKUP(U1001,ROLES!G:H,2,FALSE))</f>
        <v/>
      </c>
      <c r="W1001" s="6"/>
      <c r="X1001" s="6"/>
      <c r="Y1001" s="95" t="e">
        <f t="shared" si="31"/>
        <v>#VALUE!</v>
      </c>
      <c r="Z1001" s="6"/>
      <c r="AA1001" s="6"/>
    </row>
    <row r="1002" spans="1:27" ht="28.95" customHeight="1" x14ac:dyDescent="0.3">
      <c r="A1002" s="91"/>
      <c r="B1002" s="91"/>
      <c r="C1002" s="80"/>
      <c r="D1002" s="91"/>
      <c r="E1002" s="80"/>
      <c r="F1002" s="6"/>
      <c r="G1002" s="6"/>
      <c r="H1002" s="25"/>
      <c r="I1002" s="133"/>
      <c r="J1002" s="6"/>
      <c r="K1002" s="6"/>
      <c r="L1002" s="6"/>
      <c r="M1002" s="6"/>
      <c r="N1002" s="84"/>
      <c r="O1002" s="80" t="str">
        <f>IF(N1002="","",VLOOKUP(N1002,ROLES!B:C,2,FALSE))</f>
        <v/>
      </c>
      <c r="P1002" s="6"/>
      <c r="Q1002" s="6"/>
      <c r="R1002" s="16">
        <f t="shared" si="32"/>
        <v>0</v>
      </c>
      <c r="S1002" s="16"/>
      <c r="T1002" s="80" t="str">
        <f>IF(S1002="","",VLOOKUP(S1002,VALORACION!F:G,2,FALSE))</f>
        <v/>
      </c>
      <c r="U1002" s="11"/>
      <c r="V1002" s="80" t="str">
        <f>IF(U1002="","",VLOOKUP(U1002,ROLES!G:H,2,FALSE))</f>
        <v/>
      </c>
      <c r="W1002" s="6"/>
      <c r="X1002" s="6"/>
      <c r="Y1002" s="95" t="e">
        <f t="shared" si="31"/>
        <v>#VALUE!</v>
      </c>
      <c r="Z1002" s="6"/>
      <c r="AA1002" s="6"/>
    </row>
    <row r="1003" spans="1:27" ht="28.95" customHeight="1" x14ac:dyDescent="0.3">
      <c r="A1003" s="91"/>
      <c r="B1003" s="91"/>
      <c r="C1003" s="80"/>
      <c r="D1003" s="91"/>
      <c r="E1003" s="80"/>
      <c r="F1003" s="6"/>
      <c r="G1003" s="6"/>
      <c r="H1003" s="25"/>
      <c r="I1003" s="133"/>
      <c r="J1003" s="6"/>
      <c r="K1003" s="6"/>
      <c r="L1003" s="6"/>
      <c r="M1003" s="6"/>
      <c r="N1003" s="84"/>
      <c r="O1003" s="80" t="str">
        <f>IF(N1003="","",VLOOKUP(N1003,ROLES!B:C,2,FALSE))</f>
        <v/>
      </c>
      <c r="P1003" s="6"/>
      <c r="Q1003" s="6"/>
      <c r="R1003" s="16">
        <f t="shared" si="32"/>
        <v>0</v>
      </c>
      <c r="S1003" s="16"/>
      <c r="T1003" s="80" t="str">
        <f>IF(S1003="","",VLOOKUP(S1003,VALORACION!F:G,2,FALSE))</f>
        <v/>
      </c>
      <c r="U1003" s="11"/>
      <c r="V1003" s="80" t="str">
        <f>IF(U1003="","",VLOOKUP(U1003,ROLES!G:H,2,FALSE))</f>
        <v/>
      </c>
      <c r="W1003" s="6"/>
      <c r="X1003" s="6"/>
      <c r="Y1003" s="95" t="e">
        <f t="shared" si="31"/>
        <v>#VALUE!</v>
      </c>
      <c r="Z1003" s="6"/>
      <c r="AA1003" s="6"/>
    </row>
    <row r="1004" spans="1:27" ht="28.95" customHeight="1" x14ac:dyDescent="0.3">
      <c r="A1004" s="91"/>
      <c r="B1004" s="91"/>
      <c r="C1004" s="80"/>
      <c r="D1004" s="91"/>
      <c r="E1004" s="80"/>
      <c r="F1004" s="6"/>
      <c r="G1004" s="6"/>
      <c r="H1004" s="25"/>
      <c r="I1004" s="133"/>
      <c r="J1004" s="6"/>
      <c r="K1004" s="6"/>
      <c r="L1004" s="6"/>
      <c r="M1004" s="6"/>
      <c r="N1004" s="84"/>
      <c r="O1004" s="80" t="str">
        <f>IF(N1004="","",VLOOKUP(N1004,ROLES!B:C,2,FALSE))</f>
        <v/>
      </c>
      <c r="P1004" s="6"/>
      <c r="Q1004" s="6"/>
      <c r="R1004" s="16">
        <f t="shared" si="32"/>
        <v>0</v>
      </c>
      <c r="S1004" s="16"/>
      <c r="T1004" s="80" t="str">
        <f>IF(S1004="","",VLOOKUP(S1004,VALORACION!F:G,2,FALSE))</f>
        <v/>
      </c>
      <c r="U1004" s="11"/>
      <c r="V1004" s="80" t="str">
        <f>IF(U1004="","",VLOOKUP(U1004,ROLES!G:H,2,FALSE))</f>
        <v/>
      </c>
      <c r="W1004" s="6"/>
      <c r="X1004" s="6"/>
      <c r="Y1004" s="95" t="e">
        <f t="shared" si="31"/>
        <v>#VALUE!</v>
      </c>
      <c r="Z1004" s="6"/>
      <c r="AA1004" s="6"/>
    </row>
    <row r="1005" spans="1:27" ht="28.95" customHeight="1" x14ac:dyDescent="0.3">
      <c r="A1005" s="91"/>
      <c r="B1005" s="91"/>
      <c r="C1005" s="80"/>
      <c r="D1005" s="91"/>
      <c r="E1005" s="80"/>
      <c r="F1005" s="6"/>
      <c r="G1005" s="6"/>
      <c r="H1005" s="25"/>
      <c r="I1005" s="133"/>
      <c r="J1005" s="6"/>
      <c r="K1005" s="6"/>
      <c r="L1005" s="6"/>
      <c r="M1005" s="6"/>
      <c r="N1005" s="84"/>
      <c r="O1005" s="80" t="str">
        <f>IF(N1005="","",VLOOKUP(N1005,ROLES!B:C,2,FALSE))</f>
        <v/>
      </c>
      <c r="P1005" s="6"/>
      <c r="Q1005" s="6"/>
      <c r="R1005" s="16">
        <f t="shared" si="32"/>
        <v>0</v>
      </c>
      <c r="S1005" s="16"/>
      <c r="T1005" s="80" t="str">
        <f>IF(S1005="","",VLOOKUP(S1005,VALORACION!F:G,2,FALSE))</f>
        <v/>
      </c>
      <c r="U1005" s="11"/>
      <c r="V1005" s="80" t="str">
        <f>IF(U1005="","",VLOOKUP(U1005,ROLES!G:H,2,FALSE))</f>
        <v/>
      </c>
      <c r="W1005" s="6"/>
      <c r="X1005" s="6"/>
      <c r="Y1005" s="95" t="e">
        <f t="shared" si="31"/>
        <v>#VALUE!</v>
      </c>
      <c r="Z1005" s="6"/>
      <c r="AA1005" s="6"/>
    </row>
    <row r="1006" spans="1:27" ht="28.95" customHeight="1" x14ac:dyDescent="0.3">
      <c r="A1006" s="91"/>
      <c r="B1006" s="91"/>
      <c r="C1006" s="80"/>
      <c r="D1006" s="91"/>
      <c r="E1006" s="80"/>
      <c r="F1006" s="6"/>
      <c r="G1006" s="6"/>
      <c r="H1006" s="25"/>
      <c r="I1006" s="133"/>
      <c r="J1006" s="6"/>
      <c r="K1006" s="6"/>
      <c r="L1006" s="6"/>
      <c r="M1006" s="6"/>
      <c r="N1006" s="84"/>
      <c r="O1006" s="80" t="str">
        <f>IF(N1006="","",VLOOKUP(N1006,ROLES!B:C,2,FALSE))</f>
        <v/>
      </c>
      <c r="P1006" s="6"/>
      <c r="Q1006" s="6"/>
      <c r="R1006" s="16">
        <f t="shared" si="32"/>
        <v>0</v>
      </c>
      <c r="S1006" s="16"/>
      <c r="T1006" s="80" t="str">
        <f>IF(S1006="","",VLOOKUP(S1006,VALORACION!F:G,2,FALSE))</f>
        <v/>
      </c>
      <c r="U1006" s="11"/>
      <c r="V1006" s="80" t="str">
        <f>IF(U1006="","",VLOOKUP(U1006,ROLES!G:H,2,FALSE))</f>
        <v/>
      </c>
      <c r="W1006" s="6"/>
      <c r="X1006" s="6"/>
      <c r="Y1006" s="95" t="e">
        <f t="shared" si="31"/>
        <v>#VALUE!</v>
      </c>
      <c r="Z1006" s="6"/>
      <c r="AA1006" s="6"/>
    </row>
    <row r="1007" spans="1:27" ht="28.95" customHeight="1" x14ac:dyDescent="0.3">
      <c r="A1007" s="91"/>
      <c r="B1007" s="91"/>
      <c r="C1007" s="80"/>
      <c r="D1007" s="91"/>
      <c r="E1007" s="80"/>
      <c r="F1007" s="6"/>
      <c r="G1007" s="6"/>
      <c r="H1007" s="25"/>
      <c r="I1007" s="133"/>
      <c r="J1007" s="6"/>
      <c r="K1007" s="6"/>
      <c r="L1007" s="6"/>
      <c r="M1007" s="6"/>
      <c r="N1007" s="84"/>
      <c r="O1007" s="80" t="str">
        <f>IF(N1007="","",VLOOKUP(N1007,ROLES!B:C,2,FALSE))</f>
        <v/>
      </c>
      <c r="P1007" s="6"/>
      <c r="Q1007" s="6"/>
      <c r="R1007" s="16">
        <f t="shared" si="32"/>
        <v>0</v>
      </c>
      <c r="S1007" s="16"/>
      <c r="T1007" s="80" t="str">
        <f>IF(S1007="","",VLOOKUP(S1007,VALORACION!F:G,2,FALSE))</f>
        <v/>
      </c>
      <c r="U1007" s="11"/>
      <c r="V1007" s="80" t="str">
        <f>IF(U1007="","",VLOOKUP(U1007,ROLES!G:H,2,FALSE))</f>
        <v/>
      </c>
      <c r="W1007" s="6"/>
      <c r="X1007" s="6"/>
      <c r="Y1007" s="95" t="e">
        <f t="shared" si="31"/>
        <v>#VALUE!</v>
      </c>
      <c r="Z1007" s="6"/>
      <c r="AA1007" s="6"/>
    </row>
    <row r="1008" spans="1:27" ht="28.95" customHeight="1" x14ac:dyDescent="0.3">
      <c r="A1008" s="91"/>
      <c r="B1008" s="91"/>
      <c r="C1008" s="80"/>
      <c r="D1008" s="91"/>
      <c r="E1008" s="80"/>
      <c r="F1008" s="6"/>
      <c r="G1008" s="6"/>
      <c r="H1008" s="25"/>
      <c r="I1008" s="133"/>
      <c r="J1008" s="6"/>
      <c r="K1008" s="6"/>
      <c r="L1008" s="6"/>
      <c r="M1008" s="6"/>
      <c r="N1008" s="84"/>
      <c r="O1008" s="80" t="str">
        <f>IF(N1008="","",VLOOKUP(N1008,ROLES!B:C,2,FALSE))</f>
        <v/>
      </c>
      <c r="P1008" s="6"/>
      <c r="Q1008" s="6"/>
      <c r="R1008" s="16">
        <f t="shared" si="32"/>
        <v>0</v>
      </c>
      <c r="S1008" s="16"/>
      <c r="T1008" s="80" t="str">
        <f>IF(S1008="","",VLOOKUP(S1008,VALORACION!F:G,2,FALSE))</f>
        <v/>
      </c>
      <c r="U1008" s="11"/>
      <c r="V1008" s="80" t="str">
        <f>IF(U1008="","",VLOOKUP(U1008,ROLES!G:H,2,FALSE))</f>
        <v/>
      </c>
      <c r="W1008" s="6"/>
      <c r="X1008" s="6"/>
      <c r="Y1008" s="95" t="e">
        <f t="shared" si="31"/>
        <v>#VALUE!</v>
      </c>
      <c r="Z1008" s="6"/>
      <c r="AA1008" s="6"/>
    </row>
    <row r="1009" spans="1:27" ht="28.95" customHeight="1" x14ac:dyDescent="0.3">
      <c r="A1009" s="91"/>
      <c r="B1009" s="91"/>
      <c r="C1009" s="80"/>
      <c r="D1009" s="91"/>
      <c r="E1009" s="80"/>
      <c r="F1009" s="6"/>
      <c r="G1009" s="6"/>
      <c r="H1009" s="25"/>
      <c r="I1009" s="133"/>
      <c r="J1009" s="6"/>
      <c r="K1009" s="6"/>
      <c r="L1009" s="6"/>
      <c r="M1009" s="6"/>
      <c r="N1009" s="84"/>
      <c r="O1009" s="80" t="str">
        <f>IF(N1009="","",VLOOKUP(N1009,ROLES!B:C,2,FALSE))</f>
        <v/>
      </c>
      <c r="P1009" s="6"/>
      <c r="Q1009" s="6"/>
      <c r="R1009" s="16">
        <f t="shared" si="32"/>
        <v>0</v>
      </c>
      <c r="S1009" s="16"/>
      <c r="T1009" s="80" t="str">
        <f>IF(S1009="","",VLOOKUP(S1009,VALORACION!F:G,2,FALSE))</f>
        <v/>
      </c>
      <c r="U1009" s="11"/>
      <c r="V1009" s="80" t="str">
        <f>IF(U1009="","",VLOOKUP(U1009,ROLES!G:H,2,FALSE))</f>
        <v/>
      </c>
      <c r="W1009" s="6"/>
      <c r="X1009" s="6"/>
      <c r="Y1009" s="95" t="e">
        <f t="shared" si="31"/>
        <v>#VALUE!</v>
      </c>
      <c r="Z1009" s="6"/>
      <c r="AA1009" s="6"/>
    </row>
    <row r="1010" spans="1:27" ht="28.95" customHeight="1" x14ac:dyDescent="0.3">
      <c r="A1010" s="91"/>
      <c r="B1010" s="91"/>
      <c r="C1010" s="80"/>
      <c r="D1010" s="91"/>
      <c r="E1010" s="80"/>
      <c r="F1010" s="6"/>
      <c r="G1010" s="6"/>
      <c r="H1010" s="25"/>
      <c r="I1010" s="133"/>
      <c r="J1010" s="6"/>
      <c r="K1010" s="6"/>
      <c r="L1010" s="6"/>
      <c r="M1010" s="6"/>
      <c r="N1010" s="84"/>
      <c r="O1010" s="80" t="str">
        <f>IF(N1010="","",VLOOKUP(N1010,ROLES!B:C,2,FALSE))</f>
        <v/>
      </c>
      <c r="P1010" s="6"/>
      <c r="Q1010" s="6"/>
      <c r="R1010" s="16">
        <f t="shared" si="32"/>
        <v>0</v>
      </c>
      <c r="S1010" s="16"/>
      <c r="T1010" s="80" t="str">
        <f>IF(S1010="","",VLOOKUP(S1010,VALORACION!F:G,2,FALSE))</f>
        <v/>
      </c>
      <c r="U1010" s="11"/>
      <c r="V1010" s="80" t="str">
        <f>IF(U1010="","",VLOOKUP(U1010,ROLES!G:H,2,FALSE))</f>
        <v/>
      </c>
      <c r="W1010" s="6"/>
      <c r="X1010" s="6"/>
      <c r="Y1010" s="95" t="e">
        <f t="shared" si="31"/>
        <v>#VALUE!</v>
      </c>
      <c r="Z1010" s="6"/>
      <c r="AA1010" s="6"/>
    </row>
    <row r="1011" spans="1:27" ht="28.95" customHeight="1" x14ac:dyDescent="0.3">
      <c r="A1011" s="91"/>
      <c r="B1011" s="91"/>
      <c r="C1011" s="80"/>
      <c r="D1011" s="91"/>
      <c r="E1011" s="80"/>
      <c r="F1011" s="6"/>
      <c r="G1011" s="6"/>
      <c r="H1011" s="25"/>
      <c r="I1011" s="133"/>
      <c r="J1011" s="6"/>
      <c r="K1011" s="6"/>
      <c r="L1011" s="6"/>
      <c r="M1011" s="6"/>
      <c r="N1011" s="84"/>
      <c r="O1011" s="80" t="str">
        <f>IF(N1011="","",VLOOKUP(N1011,ROLES!B:C,2,FALSE))</f>
        <v/>
      </c>
      <c r="P1011" s="6"/>
      <c r="Q1011" s="6"/>
      <c r="R1011" s="16">
        <f t="shared" si="32"/>
        <v>0</v>
      </c>
      <c r="S1011" s="16"/>
      <c r="T1011" s="80" t="str">
        <f>IF(S1011="","",VLOOKUP(S1011,VALORACION!F:G,2,FALSE))</f>
        <v/>
      </c>
      <c r="U1011" s="11"/>
      <c r="V1011" s="80" t="str">
        <f>IF(U1011="","",VLOOKUP(U1011,ROLES!G:H,2,FALSE))</f>
        <v/>
      </c>
      <c r="W1011" s="6"/>
      <c r="X1011" s="6"/>
      <c r="Y1011" s="95" t="e">
        <f t="shared" si="31"/>
        <v>#VALUE!</v>
      </c>
      <c r="Z1011" s="6"/>
      <c r="AA1011" s="6"/>
    </row>
    <row r="1012" spans="1:27" ht="28.95" customHeight="1" x14ac:dyDescent="0.3">
      <c r="A1012" s="91"/>
      <c r="B1012" s="91"/>
      <c r="C1012" s="80"/>
      <c r="D1012" s="91"/>
      <c r="E1012" s="80"/>
      <c r="F1012" s="6"/>
      <c r="G1012" s="6"/>
      <c r="H1012" s="25"/>
      <c r="I1012" s="133"/>
      <c r="J1012" s="6"/>
      <c r="K1012" s="6"/>
      <c r="L1012" s="6"/>
      <c r="M1012" s="6"/>
      <c r="N1012" s="84"/>
      <c r="O1012" s="80" t="str">
        <f>IF(N1012="","",VLOOKUP(N1012,ROLES!B:C,2,FALSE))</f>
        <v/>
      </c>
      <c r="P1012" s="6"/>
      <c r="Q1012" s="6"/>
      <c r="R1012" s="16">
        <f t="shared" si="32"/>
        <v>0</v>
      </c>
      <c r="S1012" s="16"/>
      <c r="T1012" s="80" t="str">
        <f>IF(S1012="","",VLOOKUP(S1012,VALORACION!F:G,2,FALSE))</f>
        <v/>
      </c>
      <c r="U1012" s="11"/>
      <c r="V1012" s="80" t="str">
        <f>IF(U1012="","",VLOOKUP(U1012,ROLES!G:H,2,FALSE))</f>
        <v/>
      </c>
      <c r="W1012" s="6"/>
      <c r="X1012" s="6"/>
      <c r="Y1012" s="95" t="e">
        <f t="shared" si="31"/>
        <v>#VALUE!</v>
      </c>
      <c r="Z1012" s="6"/>
      <c r="AA1012" s="6"/>
    </row>
    <row r="1013" spans="1:27" ht="28.95" customHeight="1" x14ac:dyDescent="0.3">
      <c r="A1013" s="91"/>
      <c r="B1013" s="91"/>
      <c r="C1013" s="80"/>
      <c r="D1013" s="91"/>
      <c r="E1013" s="80"/>
      <c r="F1013" s="6"/>
      <c r="G1013" s="6"/>
      <c r="H1013" s="25"/>
      <c r="I1013" s="133"/>
      <c r="J1013" s="6"/>
      <c r="K1013" s="6"/>
      <c r="L1013" s="6"/>
      <c r="M1013" s="6"/>
      <c r="N1013" s="84"/>
      <c r="O1013" s="80" t="str">
        <f>IF(N1013="","",VLOOKUP(N1013,ROLES!B:C,2,FALSE))</f>
        <v/>
      </c>
      <c r="P1013" s="6"/>
      <c r="Q1013" s="6"/>
      <c r="R1013" s="16">
        <f t="shared" si="32"/>
        <v>0</v>
      </c>
      <c r="S1013" s="16"/>
      <c r="T1013" s="80" t="str">
        <f>IF(S1013="","",VLOOKUP(S1013,VALORACION!F:G,2,FALSE))</f>
        <v/>
      </c>
      <c r="U1013" s="11"/>
      <c r="V1013" s="80" t="str">
        <f>IF(U1013="","",VLOOKUP(U1013,ROLES!G:H,2,FALSE))</f>
        <v/>
      </c>
      <c r="W1013" s="6"/>
      <c r="X1013" s="6"/>
      <c r="Y1013" s="95" t="e">
        <f t="shared" si="31"/>
        <v>#VALUE!</v>
      </c>
      <c r="Z1013" s="6"/>
      <c r="AA1013" s="6"/>
    </row>
    <row r="1014" spans="1:27" ht="28.95" customHeight="1" x14ac:dyDescent="0.3">
      <c r="A1014" s="91"/>
      <c r="B1014" s="91"/>
      <c r="C1014" s="80"/>
      <c r="D1014" s="91"/>
      <c r="E1014" s="80"/>
      <c r="F1014" s="6"/>
      <c r="G1014" s="6"/>
      <c r="H1014" s="25"/>
      <c r="I1014" s="133"/>
      <c r="J1014" s="6"/>
      <c r="K1014" s="6"/>
      <c r="L1014" s="6"/>
      <c r="M1014" s="6"/>
      <c r="N1014" s="84"/>
      <c r="O1014" s="80" t="str">
        <f>IF(N1014="","",VLOOKUP(N1014,ROLES!B:C,2,FALSE))</f>
        <v/>
      </c>
      <c r="P1014" s="6"/>
      <c r="Q1014" s="6"/>
      <c r="R1014" s="16">
        <f t="shared" si="32"/>
        <v>0</v>
      </c>
      <c r="S1014" s="16"/>
      <c r="T1014" s="80" t="str">
        <f>IF(S1014="","",VLOOKUP(S1014,VALORACION!F:G,2,FALSE))</f>
        <v/>
      </c>
      <c r="U1014" s="11"/>
      <c r="V1014" s="80" t="str">
        <f>IF(U1014="","",VLOOKUP(U1014,ROLES!G:H,2,FALSE))</f>
        <v/>
      </c>
      <c r="W1014" s="6"/>
      <c r="X1014" s="6"/>
      <c r="Y1014" s="95" t="e">
        <f t="shared" si="31"/>
        <v>#VALUE!</v>
      </c>
      <c r="Z1014" s="6"/>
      <c r="AA1014" s="6"/>
    </row>
    <row r="1015" spans="1:27" ht="28.95" customHeight="1" x14ac:dyDescent="0.3">
      <c r="A1015" s="91"/>
      <c r="B1015" s="91"/>
      <c r="C1015" s="80"/>
      <c r="D1015" s="91"/>
      <c r="E1015" s="80"/>
      <c r="F1015" s="6"/>
      <c r="G1015" s="6"/>
      <c r="H1015" s="25"/>
      <c r="I1015" s="133"/>
      <c r="J1015" s="6"/>
      <c r="K1015" s="6"/>
      <c r="L1015" s="6"/>
      <c r="M1015" s="6"/>
      <c r="N1015" s="84"/>
      <c r="O1015" s="80" t="str">
        <f>IF(N1015="","",VLOOKUP(N1015,ROLES!B:C,2,FALSE))</f>
        <v/>
      </c>
      <c r="P1015" s="6"/>
      <c r="Q1015" s="6"/>
      <c r="R1015" s="16">
        <f t="shared" si="32"/>
        <v>0</v>
      </c>
      <c r="S1015" s="16"/>
      <c r="T1015" s="80" t="str">
        <f>IF(S1015="","",VLOOKUP(S1015,VALORACION!F:G,2,FALSE))</f>
        <v/>
      </c>
      <c r="U1015" s="11"/>
      <c r="V1015" s="80" t="str">
        <f>IF(U1015="","",VLOOKUP(U1015,ROLES!G:H,2,FALSE))</f>
        <v/>
      </c>
      <c r="W1015" s="6"/>
      <c r="X1015" s="6"/>
      <c r="Y1015" s="95" t="e">
        <f t="shared" si="31"/>
        <v>#VALUE!</v>
      </c>
      <c r="Z1015" s="6"/>
      <c r="AA1015" s="6"/>
    </row>
    <row r="1016" spans="1:27" ht="28.95" customHeight="1" x14ac:dyDescent="0.3">
      <c r="A1016" s="91"/>
      <c r="B1016" s="91"/>
      <c r="C1016" s="80"/>
      <c r="D1016" s="91"/>
      <c r="E1016" s="80"/>
      <c r="F1016" s="6"/>
      <c r="G1016" s="6"/>
      <c r="H1016" s="25"/>
      <c r="I1016" s="133"/>
      <c r="J1016" s="6"/>
      <c r="K1016" s="6"/>
      <c r="L1016" s="6"/>
      <c r="M1016" s="6"/>
      <c r="N1016" s="84"/>
      <c r="O1016" s="80" t="str">
        <f>IF(N1016="","",VLOOKUP(N1016,ROLES!B:C,2,FALSE))</f>
        <v/>
      </c>
      <c r="P1016" s="6"/>
      <c r="Q1016" s="6"/>
      <c r="R1016" s="16">
        <f t="shared" si="32"/>
        <v>0</v>
      </c>
      <c r="S1016" s="16"/>
      <c r="T1016" s="80" t="str">
        <f>IF(S1016="","",VLOOKUP(S1016,VALORACION!F:G,2,FALSE))</f>
        <v/>
      </c>
      <c r="U1016" s="11"/>
      <c r="V1016" s="80" t="str">
        <f>IF(U1016="","",VLOOKUP(U1016,ROLES!G:H,2,FALSE))</f>
        <v/>
      </c>
      <c r="W1016" s="6"/>
      <c r="X1016" s="6"/>
      <c r="Y1016" s="95" t="e">
        <f t="shared" si="31"/>
        <v>#VALUE!</v>
      </c>
      <c r="Z1016" s="6"/>
      <c r="AA1016" s="6"/>
    </row>
    <row r="1017" spans="1:27" ht="28.95" customHeight="1" x14ac:dyDescent="0.3">
      <c r="A1017" s="91"/>
      <c r="B1017" s="91"/>
      <c r="C1017" s="80"/>
      <c r="D1017" s="91"/>
      <c r="E1017" s="80"/>
      <c r="F1017" s="6"/>
      <c r="G1017" s="6"/>
      <c r="H1017" s="25"/>
      <c r="I1017" s="133"/>
      <c r="J1017" s="6"/>
      <c r="K1017" s="6"/>
      <c r="L1017" s="6"/>
      <c r="M1017" s="6"/>
      <c r="N1017" s="84"/>
      <c r="O1017" s="80" t="str">
        <f>IF(N1017="","",VLOOKUP(N1017,ROLES!B:C,2,FALSE))</f>
        <v/>
      </c>
      <c r="P1017" s="6"/>
      <c r="Q1017" s="6"/>
      <c r="R1017" s="16">
        <f t="shared" si="32"/>
        <v>0</v>
      </c>
      <c r="S1017" s="16"/>
      <c r="T1017" s="80" t="str">
        <f>IF(S1017="","",VLOOKUP(S1017,VALORACION!F:G,2,FALSE))</f>
        <v/>
      </c>
      <c r="U1017" s="11"/>
      <c r="V1017" s="80" t="str">
        <f>IF(U1017="","",VLOOKUP(U1017,ROLES!G:H,2,FALSE))</f>
        <v/>
      </c>
      <c r="W1017" s="6"/>
      <c r="X1017" s="6"/>
      <c r="Y1017" s="95" t="e">
        <f t="shared" si="31"/>
        <v>#VALUE!</v>
      </c>
      <c r="Z1017" s="6"/>
      <c r="AA1017" s="6"/>
    </row>
    <row r="1018" spans="1:27" ht="28.95" customHeight="1" x14ac:dyDescent="0.3">
      <c r="A1018" s="91"/>
      <c r="B1018" s="91"/>
      <c r="C1018" s="80"/>
      <c r="D1018" s="91"/>
      <c r="E1018" s="80"/>
      <c r="F1018" s="6"/>
      <c r="G1018" s="6"/>
      <c r="H1018" s="25"/>
      <c r="I1018" s="133"/>
      <c r="J1018" s="6"/>
      <c r="K1018" s="6"/>
      <c r="L1018" s="6"/>
      <c r="M1018" s="6"/>
      <c r="N1018" s="84"/>
      <c r="O1018" s="80" t="str">
        <f>IF(N1018="","",VLOOKUP(N1018,ROLES!B:C,2,FALSE))</f>
        <v/>
      </c>
      <c r="P1018" s="6"/>
      <c r="Q1018" s="6"/>
      <c r="R1018" s="16">
        <f t="shared" si="32"/>
        <v>0</v>
      </c>
      <c r="S1018" s="16"/>
      <c r="T1018" s="80" t="str">
        <f>IF(S1018="","",VLOOKUP(S1018,VALORACION!F:G,2,FALSE))</f>
        <v/>
      </c>
      <c r="U1018" s="11"/>
      <c r="V1018" s="80" t="str">
        <f>IF(U1018="","",VLOOKUP(U1018,ROLES!G:H,2,FALSE))</f>
        <v/>
      </c>
      <c r="W1018" s="6"/>
      <c r="X1018" s="6"/>
      <c r="Y1018" s="95" t="e">
        <f t="shared" si="31"/>
        <v>#VALUE!</v>
      </c>
      <c r="Z1018" s="6"/>
      <c r="AA1018" s="6"/>
    </row>
    <row r="1019" spans="1:27" ht="28.95" customHeight="1" x14ac:dyDescent="0.3">
      <c r="A1019" s="91"/>
      <c r="B1019" s="91"/>
      <c r="C1019" s="80"/>
      <c r="D1019" s="91"/>
      <c r="E1019" s="80"/>
      <c r="F1019" s="6"/>
      <c r="G1019" s="6"/>
      <c r="H1019" s="25"/>
      <c r="I1019" s="133"/>
      <c r="J1019" s="6"/>
      <c r="K1019" s="6"/>
      <c r="L1019" s="6"/>
      <c r="M1019" s="6"/>
      <c r="N1019" s="84"/>
      <c r="O1019" s="80" t="str">
        <f>IF(N1019="","",VLOOKUP(N1019,ROLES!B:C,2,FALSE))</f>
        <v/>
      </c>
      <c r="P1019" s="6"/>
      <c r="Q1019" s="6"/>
      <c r="R1019" s="16">
        <f t="shared" si="32"/>
        <v>0</v>
      </c>
      <c r="S1019" s="16"/>
      <c r="T1019" s="80" t="str">
        <f>IF(S1019="","",VLOOKUP(S1019,VALORACION!F:G,2,FALSE))</f>
        <v/>
      </c>
      <c r="U1019" s="11"/>
      <c r="V1019" s="80" t="str">
        <f>IF(U1019="","",VLOOKUP(U1019,ROLES!G:H,2,FALSE))</f>
        <v/>
      </c>
      <c r="W1019" s="6"/>
      <c r="X1019" s="6"/>
      <c r="Y1019" s="95" t="e">
        <f t="shared" si="31"/>
        <v>#VALUE!</v>
      </c>
      <c r="Z1019" s="6"/>
      <c r="AA1019" s="6"/>
    </row>
    <row r="1020" spans="1:27" ht="28.95" customHeight="1" x14ac:dyDescent="0.3">
      <c r="A1020" s="91"/>
      <c r="B1020" s="91"/>
      <c r="C1020" s="80"/>
      <c r="D1020" s="91"/>
      <c r="E1020" s="80"/>
      <c r="F1020" s="6"/>
      <c r="G1020" s="6"/>
      <c r="H1020" s="25"/>
      <c r="I1020" s="133"/>
      <c r="J1020" s="6"/>
      <c r="K1020" s="6"/>
      <c r="L1020" s="6"/>
      <c r="M1020" s="6"/>
      <c r="N1020" s="84"/>
      <c r="O1020" s="80" t="str">
        <f>IF(N1020="","",VLOOKUP(N1020,ROLES!B:C,2,FALSE))</f>
        <v/>
      </c>
      <c r="P1020" s="6"/>
      <c r="Q1020" s="6"/>
      <c r="R1020" s="16">
        <f t="shared" si="32"/>
        <v>0</v>
      </c>
      <c r="S1020" s="16"/>
      <c r="T1020" s="80" t="str">
        <f>IF(S1020="","",VLOOKUP(S1020,VALORACION!F:G,2,FALSE))</f>
        <v/>
      </c>
      <c r="U1020" s="11"/>
      <c r="V1020" s="80" t="str">
        <f>IF(U1020="","",VLOOKUP(U1020,ROLES!G:H,2,FALSE))</f>
        <v/>
      </c>
      <c r="W1020" s="6"/>
      <c r="X1020" s="6"/>
      <c r="Y1020" s="95" t="e">
        <f t="shared" si="31"/>
        <v>#VALUE!</v>
      </c>
      <c r="Z1020" s="6"/>
      <c r="AA1020" s="6"/>
    </row>
    <row r="1021" spans="1:27" ht="28.95" customHeight="1" x14ac:dyDescent="0.3">
      <c r="A1021" s="91"/>
      <c r="B1021" s="91"/>
      <c r="C1021" s="80"/>
      <c r="D1021" s="91"/>
      <c r="E1021" s="80"/>
      <c r="F1021" s="6"/>
      <c r="G1021" s="6"/>
      <c r="H1021" s="25"/>
      <c r="I1021" s="133"/>
      <c r="J1021" s="6"/>
      <c r="K1021" s="6"/>
      <c r="L1021" s="6"/>
      <c r="M1021" s="6"/>
      <c r="N1021" s="84"/>
      <c r="O1021" s="80" t="str">
        <f>IF(N1021="","",VLOOKUP(N1021,ROLES!B:C,2,FALSE))</f>
        <v/>
      </c>
      <c r="P1021" s="6"/>
      <c r="Q1021" s="6"/>
      <c r="R1021" s="16">
        <f t="shared" si="32"/>
        <v>0</v>
      </c>
      <c r="S1021" s="16"/>
      <c r="T1021" s="80" t="str">
        <f>IF(S1021="","",VLOOKUP(S1021,VALORACION!F:G,2,FALSE))</f>
        <v/>
      </c>
      <c r="U1021" s="11"/>
      <c r="V1021" s="80" t="str">
        <f>IF(U1021="","",VLOOKUP(U1021,ROLES!G:H,2,FALSE))</f>
        <v/>
      </c>
      <c r="W1021" s="6"/>
      <c r="X1021" s="6"/>
      <c r="Y1021" s="95" t="e">
        <f t="shared" si="31"/>
        <v>#VALUE!</v>
      </c>
      <c r="Z1021" s="6"/>
      <c r="AA1021" s="6"/>
    </row>
    <row r="1022" spans="1:27" ht="28.95" customHeight="1" x14ac:dyDescent="0.3">
      <c r="A1022" s="91"/>
      <c r="B1022" s="91"/>
      <c r="C1022" s="80"/>
      <c r="D1022" s="91"/>
      <c r="E1022" s="80"/>
      <c r="F1022" s="6"/>
      <c r="G1022" s="6"/>
      <c r="H1022" s="25"/>
      <c r="I1022" s="133"/>
      <c r="J1022" s="6"/>
      <c r="K1022" s="6"/>
      <c r="L1022" s="6"/>
      <c r="M1022" s="6"/>
      <c r="N1022" s="84"/>
      <c r="O1022" s="80" t="str">
        <f>IF(N1022="","",VLOOKUP(N1022,ROLES!B:C,2,FALSE))</f>
        <v/>
      </c>
      <c r="P1022" s="6"/>
      <c r="Q1022" s="6"/>
      <c r="R1022" s="16">
        <f t="shared" si="32"/>
        <v>0</v>
      </c>
      <c r="S1022" s="16"/>
      <c r="T1022" s="80" t="str">
        <f>IF(S1022="","",VLOOKUP(S1022,VALORACION!F:G,2,FALSE))</f>
        <v/>
      </c>
      <c r="U1022" s="11"/>
      <c r="V1022" s="80" t="str">
        <f>IF(U1022="","",VLOOKUP(U1022,ROLES!G:H,2,FALSE))</f>
        <v/>
      </c>
      <c r="W1022" s="6"/>
      <c r="X1022" s="6"/>
      <c r="Y1022" s="95" t="e">
        <f t="shared" si="31"/>
        <v>#VALUE!</v>
      </c>
      <c r="Z1022" s="6"/>
      <c r="AA1022" s="6"/>
    </row>
    <row r="1023" spans="1:27" ht="28.95" customHeight="1" x14ac:dyDescent="0.3">
      <c r="A1023" s="91"/>
      <c r="B1023" s="91"/>
      <c r="C1023" s="80"/>
      <c r="D1023" s="91"/>
      <c r="E1023" s="80"/>
      <c r="F1023" s="6"/>
      <c r="G1023" s="6"/>
      <c r="H1023" s="25"/>
      <c r="I1023" s="133"/>
      <c r="J1023" s="6"/>
      <c r="K1023" s="6"/>
      <c r="L1023" s="6"/>
      <c r="M1023" s="6"/>
      <c r="N1023" s="84"/>
      <c r="O1023" s="80" t="str">
        <f>IF(N1023="","",VLOOKUP(N1023,ROLES!B:C,2,FALSE))</f>
        <v/>
      </c>
      <c r="P1023" s="6"/>
      <c r="Q1023" s="6"/>
      <c r="R1023" s="16">
        <f t="shared" si="32"/>
        <v>0</v>
      </c>
      <c r="S1023" s="16"/>
      <c r="T1023" s="80" t="str">
        <f>IF(S1023="","",VLOOKUP(S1023,VALORACION!F:G,2,FALSE))</f>
        <v/>
      </c>
      <c r="U1023" s="11"/>
      <c r="V1023" s="80" t="str">
        <f>IF(U1023="","",VLOOKUP(U1023,ROLES!G:H,2,FALSE))</f>
        <v/>
      </c>
      <c r="W1023" s="6"/>
      <c r="X1023" s="6"/>
      <c r="Y1023" s="95" t="e">
        <f t="shared" si="31"/>
        <v>#VALUE!</v>
      </c>
      <c r="Z1023" s="6"/>
      <c r="AA1023" s="6"/>
    </row>
    <row r="1024" spans="1:27" ht="28.95" customHeight="1" x14ac:dyDescent="0.3">
      <c r="A1024" s="91"/>
      <c r="B1024" s="91"/>
      <c r="C1024" s="80"/>
      <c r="D1024" s="91"/>
      <c r="E1024" s="80"/>
      <c r="F1024" s="6"/>
      <c r="G1024" s="6"/>
      <c r="H1024" s="25"/>
      <c r="I1024" s="133"/>
      <c r="J1024" s="6"/>
      <c r="K1024" s="6"/>
      <c r="L1024" s="6"/>
      <c r="M1024" s="6"/>
      <c r="N1024" s="84"/>
      <c r="O1024" s="80" t="str">
        <f>IF(N1024="","",VLOOKUP(N1024,ROLES!B:C,2,FALSE))</f>
        <v/>
      </c>
      <c r="P1024" s="6"/>
      <c r="Q1024" s="6"/>
      <c r="R1024" s="16">
        <f t="shared" si="32"/>
        <v>0</v>
      </c>
      <c r="S1024" s="16"/>
      <c r="T1024" s="80" t="str">
        <f>IF(S1024="","",VLOOKUP(S1024,VALORACION!F:G,2,FALSE))</f>
        <v/>
      </c>
      <c r="U1024" s="11"/>
      <c r="V1024" s="80" t="str">
        <f>IF(U1024="","",VLOOKUP(U1024,ROLES!G:H,2,FALSE))</f>
        <v/>
      </c>
      <c r="W1024" s="6"/>
      <c r="X1024" s="6"/>
      <c r="Y1024" s="95" t="e">
        <f t="shared" si="31"/>
        <v>#VALUE!</v>
      </c>
      <c r="Z1024" s="6"/>
      <c r="AA1024" s="6"/>
    </row>
    <row r="1025" spans="1:27" ht="28.95" customHeight="1" x14ac:dyDescent="0.3">
      <c r="A1025" s="91"/>
      <c r="B1025" s="91"/>
      <c r="C1025" s="80"/>
      <c r="D1025" s="91"/>
      <c r="E1025" s="80"/>
      <c r="F1025" s="6"/>
      <c r="G1025" s="6"/>
      <c r="H1025" s="25"/>
      <c r="I1025" s="133"/>
      <c r="J1025" s="6"/>
      <c r="K1025" s="6"/>
      <c r="L1025" s="6"/>
      <c r="M1025" s="6"/>
      <c r="N1025" s="84"/>
      <c r="O1025" s="80" t="str">
        <f>IF(N1025="","",VLOOKUP(N1025,ROLES!B:C,2,FALSE))</f>
        <v/>
      </c>
      <c r="P1025" s="6"/>
      <c r="Q1025" s="6"/>
      <c r="R1025" s="16">
        <f t="shared" si="32"/>
        <v>0</v>
      </c>
      <c r="S1025" s="16"/>
      <c r="T1025" s="80" t="str">
        <f>IF(S1025="","",VLOOKUP(S1025,VALORACION!F:G,2,FALSE))</f>
        <v/>
      </c>
      <c r="U1025" s="11"/>
      <c r="V1025" s="80" t="str">
        <f>IF(U1025="","",VLOOKUP(U1025,ROLES!G:H,2,FALSE))</f>
        <v/>
      </c>
      <c r="W1025" s="6"/>
      <c r="X1025" s="6"/>
      <c r="Y1025" s="95" t="e">
        <f t="shared" si="31"/>
        <v>#VALUE!</v>
      </c>
      <c r="Z1025" s="6"/>
      <c r="AA1025" s="6"/>
    </row>
    <row r="1026" spans="1:27" ht="28.95" customHeight="1" x14ac:dyDescent="0.3">
      <c r="A1026" s="91"/>
      <c r="B1026" s="91"/>
      <c r="C1026" s="80"/>
      <c r="D1026" s="91"/>
      <c r="E1026" s="80"/>
      <c r="F1026" s="6"/>
      <c r="G1026" s="6"/>
      <c r="H1026" s="25"/>
      <c r="I1026" s="133"/>
      <c r="J1026" s="6"/>
      <c r="K1026" s="6"/>
      <c r="L1026" s="6"/>
      <c r="M1026" s="6"/>
      <c r="N1026" s="84"/>
      <c r="O1026" s="80" t="str">
        <f>IF(N1026="","",VLOOKUP(N1026,ROLES!B:C,2,FALSE))</f>
        <v/>
      </c>
      <c r="P1026" s="6"/>
      <c r="Q1026" s="6"/>
      <c r="R1026" s="16">
        <f t="shared" si="32"/>
        <v>0</v>
      </c>
      <c r="S1026" s="16"/>
      <c r="T1026" s="80" t="str">
        <f>IF(S1026="","",VLOOKUP(S1026,VALORACION!F:G,2,FALSE))</f>
        <v/>
      </c>
      <c r="U1026" s="11"/>
      <c r="V1026" s="80" t="str">
        <f>IF(U1026="","",VLOOKUP(U1026,ROLES!G:H,2,FALSE))</f>
        <v/>
      </c>
      <c r="W1026" s="6"/>
      <c r="X1026" s="6"/>
      <c r="Y1026" s="95" t="e">
        <f t="shared" si="31"/>
        <v>#VALUE!</v>
      </c>
      <c r="Z1026" s="6"/>
      <c r="AA1026" s="6"/>
    </row>
    <row r="1027" spans="1:27" ht="28.95" customHeight="1" x14ac:dyDescent="0.3">
      <c r="A1027" s="91"/>
      <c r="B1027" s="91"/>
      <c r="C1027" s="80"/>
      <c r="D1027" s="91"/>
      <c r="E1027" s="80"/>
      <c r="F1027" s="6"/>
      <c r="G1027" s="6"/>
      <c r="H1027" s="25"/>
      <c r="I1027" s="133"/>
      <c r="J1027" s="6"/>
      <c r="K1027" s="6"/>
      <c r="L1027" s="6"/>
      <c r="M1027" s="6"/>
      <c r="N1027" s="84"/>
      <c r="O1027" s="80" t="str">
        <f>IF(N1027="","",VLOOKUP(N1027,ROLES!B:C,2,FALSE))</f>
        <v/>
      </c>
      <c r="P1027" s="6"/>
      <c r="Q1027" s="6"/>
      <c r="R1027" s="16">
        <f t="shared" si="32"/>
        <v>0</v>
      </c>
      <c r="S1027" s="16"/>
      <c r="T1027" s="80" t="str">
        <f>IF(S1027="","",VLOOKUP(S1027,VALORACION!F:G,2,FALSE))</f>
        <v/>
      </c>
      <c r="U1027" s="11"/>
      <c r="V1027" s="80" t="str">
        <f>IF(U1027="","",VLOOKUP(U1027,ROLES!G:H,2,FALSE))</f>
        <v/>
      </c>
      <c r="W1027" s="6"/>
      <c r="X1027" s="6"/>
      <c r="Y1027" s="95" t="e">
        <f t="shared" si="31"/>
        <v>#VALUE!</v>
      </c>
      <c r="Z1027" s="6"/>
      <c r="AA1027" s="6"/>
    </row>
    <row r="1028" spans="1:27" ht="28.95" customHeight="1" x14ac:dyDescent="0.3">
      <c r="A1028" s="91"/>
      <c r="B1028" s="91"/>
      <c r="C1028" s="80"/>
      <c r="D1028" s="91"/>
      <c r="E1028" s="80"/>
      <c r="F1028" s="6"/>
      <c r="G1028" s="6"/>
      <c r="H1028" s="25"/>
      <c r="I1028" s="133"/>
      <c r="J1028" s="6"/>
      <c r="K1028" s="6"/>
      <c r="L1028" s="6"/>
      <c r="M1028" s="6"/>
      <c r="N1028" s="84"/>
      <c r="O1028" s="80" t="str">
        <f>IF(N1028="","",VLOOKUP(N1028,ROLES!B:C,2,FALSE))</f>
        <v/>
      </c>
      <c r="P1028" s="6"/>
      <c r="Q1028" s="6"/>
      <c r="R1028" s="16">
        <f t="shared" si="32"/>
        <v>0</v>
      </c>
      <c r="S1028" s="16"/>
      <c r="T1028" s="80" t="str">
        <f>IF(S1028="","",VLOOKUP(S1028,VALORACION!F:G,2,FALSE))</f>
        <v/>
      </c>
      <c r="U1028" s="11"/>
      <c r="V1028" s="80" t="str">
        <f>IF(U1028="","",VLOOKUP(U1028,ROLES!G:H,2,FALSE))</f>
        <v/>
      </c>
      <c r="W1028" s="6"/>
      <c r="X1028" s="6"/>
      <c r="Y1028" s="95" t="e">
        <f t="shared" si="31"/>
        <v>#VALUE!</v>
      </c>
      <c r="Z1028" s="6"/>
      <c r="AA1028" s="6"/>
    </row>
    <row r="1029" spans="1:27" ht="28.95" customHeight="1" x14ac:dyDescent="0.3">
      <c r="A1029" s="91"/>
      <c r="B1029" s="91"/>
      <c r="C1029" s="80"/>
      <c r="D1029" s="91"/>
      <c r="E1029" s="80"/>
      <c r="F1029" s="6"/>
      <c r="G1029" s="6"/>
      <c r="H1029" s="25"/>
      <c r="I1029" s="133"/>
      <c r="J1029" s="6"/>
      <c r="K1029" s="6"/>
      <c r="L1029" s="6"/>
      <c r="M1029" s="6"/>
      <c r="N1029" s="84"/>
      <c r="O1029" s="80" t="str">
        <f>IF(N1029="","",VLOOKUP(N1029,ROLES!B:C,2,FALSE))</f>
        <v/>
      </c>
      <c r="P1029" s="6"/>
      <c r="Q1029" s="6"/>
      <c r="R1029" s="16">
        <f t="shared" si="32"/>
        <v>0</v>
      </c>
      <c r="S1029" s="16"/>
      <c r="T1029" s="80" t="str">
        <f>IF(S1029="","",VLOOKUP(S1029,VALORACION!F:G,2,FALSE))</f>
        <v/>
      </c>
      <c r="U1029" s="11"/>
      <c r="V1029" s="80" t="str">
        <f>IF(U1029="","",VLOOKUP(U1029,ROLES!G:H,2,FALSE))</f>
        <v/>
      </c>
      <c r="W1029" s="6"/>
      <c r="X1029" s="6"/>
      <c r="Y1029" s="95" t="e">
        <f t="shared" ref="Y1029:Y1092" si="33">(VALUE(O1029)+VALUE(V1029)+VALUE(X1029)+VALUE(T1029))/3</f>
        <v>#VALUE!</v>
      </c>
      <c r="Z1029" s="6"/>
      <c r="AA1029" s="6"/>
    </row>
    <row r="1030" spans="1:27" ht="28.95" customHeight="1" x14ac:dyDescent="0.3">
      <c r="A1030" s="91"/>
      <c r="B1030" s="91"/>
      <c r="C1030" s="80"/>
      <c r="D1030" s="91"/>
      <c r="E1030" s="80"/>
      <c r="F1030" s="6"/>
      <c r="G1030" s="6"/>
      <c r="H1030" s="25"/>
      <c r="I1030" s="133"/>
      <c r="J1030" s="6"/>
      <c r="K1030" s="6"/>
      <c r="L1030" s="6"/>
      <c r="M1030" s="6"/>
      <c r="N1030" s="84"/>
      <c r="O1030" s="80" t="str">
        <f>IF(N1030="","",VLOOKUP(N1030,ROLES!B:C,2,FALSE))</f>
        <v/>
      </c>
      <c r="P1030" s="6"/>
      <c r="Q1030" s="6"/>
      <c r="R1030" s="16">
        <f t="shared" si="32"/>
        <v>0</v>
      </c>
      <c r="S1030" s="16"/>
      <c r="T1030" s="80" t="str">
        <f>IF(S1030="","",VLOOKUP(S1030,VALORACION!F:G,2,FALSE))</f>
        <v/>
      </c>
      <c r="U1030" s="11"/>
      <c r="V1030" s="80" t="str">
        <f>IF(U1030="","",VLOOKUP(U1030,ROLES!G:H,2,FALSE))</f>
        <v/>
      </c>
      <c r="W1030" s="6"/>
      <c r="X1030" s="6"/>
      <c r="Y1030" s="95" t="e">
        <f t="shared" si="33"/>
        <v>#VALUE!</v>
      </c>
      <c r="Z1030" s="6"/>
      <c r="AA1030" s="6"/>
    </row>
    <row r="1031" spans="1:27" ht="28.95" customHeight="1" x14ac:dyDescent="0.3">
      <c r="A1031" s="91"/>
      <c r="B1031" s="91"/>
      <c r="C1031" s="80"/>
      <c r="D1031" s="91"/>
      <c r="E1031" s="80"/>
      <c r="F1031" s="6"/>
      <c r="G1031" s="6"/>
      <c r="H1031" s="25"/>
      <c r="I1031" s="133"/>
      <c r="J1031" s="6"/>
      <c r="K1031" s="6"/>
      <c r="L1031" s="6"/>
      <c r="M1031" s="6"/>
      <c r="N1031" s="84"/>
      <c r="O1031" s="80" t="str">
        <f>IF(N1031="","",VLOOKUP(N1031,ROLES!B:C,2,FALSE))</f>
        <v/>
      </c>
      <c r="P1031" s="6"/>
      <c r="Q1031" s="6"/>
      <c r="R1031" s="16">
        <f t="shared" ref="R1031:R1094" si="34">DATEDIF(P1031,Q1031,"m")</f>
        <v>0</v>
      </c>
      <c r="S1031" s="16"/>
      <c r="T1031" s="80" t="str">
        <f>IF(S1031="","",VLOOKUP(S1031,VALORACION!F:G,2,FALSE))</f>
        <v/>
      </c>
      <c r="U1031" s="11"/>
      <c r="V1031" s="80" t="str">
        <f>IF(U1031="","",VLOOKUP(U1031,ROLES!G:H,2,FALSE))</f>
        <v/>
      </c>
      <c r="W1031" s="6"/>
      <c r="X1031" s="6"/>
      <c r="Y1031" s="95" t="e">
        <f t="shared" si="33"/>
        <v>#VALUE!</v>
      </c>
      <c r="Z1031" s="6"/>
      <c r="AA1031" s="6"/>
    </row>
    <row r="1032" spans="1:27" ht="28.95" customHeight="1" x14ac:dyDescent="0.3">
      <c r="A1032" s="91"/>
      <c r="B1032" s="91"/>
      <c r="C1032" s="80"/>
      <c r="D1032" s="91"/>
      <c r="E1032" s="80"/>
      <c r="F1032" s="6"/>
      <c r="G1032" s="6"/>
      <c r="H1032" s="25"/>
      <c r="I1032" s="133"/>
      <c r="J1032" s="6"/>
      <c r="K1032" s="6"/>
      <c r="L1032" s="6"/>
      <c r="M1032" s="6"/>
      <c r="N1032" s="84"/>
      <c r="O1032" s="80" t="str">
        <f>IF(N1032="","",VLOOKUP(N1032,ROLES!B:C,2,FALSE))</f>
        <v/>
      </c>
      <c r="P1032" s="6"/>
      <c r="Q1032" s="6"/>
      <c r="R1032" s="16">
        <f t="shared" si="34"/>
        <v>0</v>
      </c>
      <c r="S1032" s="16"/>
      <c r="T1032" s="80" t="str">
        <f>IF(S1032="","",VLOOKUP(S1032,VALORACION!F:G,2,FALSE))</f>
        <v/>
      </c>
      <c r="U1032" s="11"/>
      <c r="V1032" s="80" t="str">
        <f>IF(U1032="","",VLOOKUP(U1032,ROLES!G:H,2,FALSE))</f>
        <v/>
      </c>
      <c r="W1032" s="6"/>
      <c r="X1032" s="6"/>
      <c r="Y1032" s="95" t="e">
        <f t="shared" si="33"/>
        <v>#VALUE!</v>
      </c>
      <c r="Z1032" s="6"/>
      <c r="AA1032" s="6"/>
    </row>
    <row r="1033" spans="1:27" ht="28.95" customHeight="1" x14ac:dyDescent="0.3">
      <c r="A1033" s="91"/>
      <c r="B1033" s="91"/>
      <c r="C1033" s="80"/>
      <c r="D1033" s="91"/>
      <c r="E1033" s="80"/>
      <c r="F1033" s="6"/>
      <c r="G1033" s="6"/>
      <c r="H1033" s="25"/>
      <c r="I1033" s="133"/>
      <c r="J1033" s="6"/>
      <c r="K1033" s="6"/>
      <c r="L1033" s="6"/>
      <c r="M1033" s="6"/>
      <c r="N1033" s="84"/>
      <c r="O1033" s="80" t="str">
        <f>IF(N1033="","",VLOOKUP(N1033,ROLES!B:C,2,FALSE))</f>
        <v/>
      </c>
      <c r="P1033" s="6"/>
      <c r="Q1033" s="6"/>
      <c r="R1033" s="16">
        <f t="shared" si="34"/>
        <v>0</v>
      </c>
      <c r="S1033" s="16"/>
      <c r="T1033" s="80" t="str">
        <f>IF(S1033="","",VLOOKUP(S1033,VALORACION!F:G,2,FALSE))</f>
        <v/>
      </c>
      <c r="U1033" s="11"/>
      <c r="V1033" s="80" t="str">
        <f>IF(U1033="","",VLOOKUP(U1033,ROLES!G:H,2,FALSE))</f>
        <v/>
      </c>
      <c r="W1033" s="6"/>
      <c r="X1033" s="6"/>
      <c r="Y1033" s="95" t="e">
        <f t="shared" si="33"/>
        <v>#VALUE!</v>
      </c>
      <c r="Z1033" s="6"/>
      <c r="AA1033" s="6"/>
    </row>
    <row r="1034" spans="1:27" ht="28.95" customHeight="1" x14ac:dyDescent="0.3">
      <c r="A1034" s="91"/>
      <c r="B1034" s="91"/>
      <c r="C1034" s="80"/>
      <c r="D1034" s="91"/>
      <c r="E1034" s="80"/>
      <c r="F1034" s="6"/>
      <c r="G1034" s="6"/>
      <c r="H1034" s="25"/>
      <c r="I1034" s="133"/>
      <c r="J1034" s="6"/>
      <c r="K1034" s="6"/>
      <c r="L1034" s="6"/>
      <c r="M1034" s="6"/>
      <c r="N1034" s="84"/>
      <c r="O1034" s="80" t="str">
        <f>IF(N1034="","",VLOOKUP(N1034,ROLES!B:C,2,FALSE))</f>
        <v/>
      </c>
      <c r="P1034" s="6"/>
      <c r="Q1034" s="6"/>
      <c r="R1034" s="16">
        <f t="shared" si="34"/>
        <v>0</v>
      </c>
      <c r="S1034" s="16"/>
      <c r="T1034" s="80" t="str">
        <f>IF(S1034="","",VLOOKUP(S1034,VALORACION!F:G,2,FALSE))</f>
        <v/>
      </c>
      <c r="U1034" s="11"/>
      <c r="V1034" s="80" t="str">
        <f>IF(U1034="","",VLOOKUP(U1034,ROLES!G:H,2,FALSE))</f>
        <v/>
      </c>
      <c r="W1034" s="6"/>
      <c r="X1034" s="6"/>
      <c r="Y1034" s="95" t="e">
        <f t="shared" si="33"/>
        <v>#VALUE!</v>
      </c>
      <c r="Z1034" s="6"/>
      <c r="AA1034" s="6"/>
    </row>
    <row r="1035" spans="1:27" ht="28.95" customHeight="1" x14ac:dyDescent="0.3">
      <c r="A1035" s="91"/>
      <c r="B1035" s="91"/>
      <c r="C1035" s="80"/>
      <c r="D1035" s="91"/>
      <c r="E1035" s="80"/>
      <c r="F1035" s="6"/>
      <c r="G1035" s="6"/>
      <c r="H1035" s="25"/>
      <c r="I1035" s="133"/>
      <c r="J1035" s="6"/>
      <c r="K1035" s="6"/>
      <c r="L1035" s="6"/>
      <c r="M1035" s="6"/>
      <c r="N1035" s="84"/>
      <c r="O1035" s="80" t="str">
        <f>IF(N1035="","",VLOOKUP(N1035,ROLES!B:C,2,FALSE))</f>
        <v/>
      </c>
      <c r="P1035" s="6"/>
      <c r="Q1035" s="6"/>
      <c r="R1035" s="16">
        <f t="shared" si="34"/>
        <v>0</v>
      </c>
      <c r="S1035" s="16"/>
      <c r="T1035" s="80" t="str">
        <f>IF(S1035="","",VLOOKUP(S1035,VALORACION!F:G,2,FALSE))</f>
        <v/>
      </c>
      <c r="U1035" s="11"/>
      <c r="V1035" s="80" t="str">
        <f>IF(U1035="","",VLOOKUP(U1035,ROLES!G:H,2,FALSE))</f>
        <v/>
      </c>
      <c r="W1035" s="6"/>
      <c r="X1035" s="6"/>
      <c r="Y1035" s="95" t="e">
        <f t="shared" si="33"/>
        <v>#VALUE!</v>
      </c>
      <c r="Z1035" s="6"/>
      <c r="AA1035" s="6"/>
    </row>
    <row r="1036" spans="1:27" ht="28.95" customHeight="1" x14ac:dyDescent="0.3">
      <c r="A1036" s="91"/>
      <c r="B1036" s="91"/>
      <c r="C1036" s="80"/>
      <c r="D1036" s="91"/>
      <c r="E1036" s="80"/>
      <c r="F1036" s="6"/>
      <c r="G1036" s="6"/>
      <c r="H1036" s="25"/>
      <c r="I1036" s="133"/>
      <c r="J1036" s="6"/>
      <c r="K1036" s="6"/>
      <c r="L1036" s="6"/>
      <c r="M1036" s="6"/>
      <c r="N1036" s="84"/>
      <c r="O1036" s="80" t="str">
        <f>IF(N1036="","",VLOOKUP(N1036,ROLES!B:C,2,FALSE))</f>
        <v/>
      </c>
      <c r="P1036" s="6"/>
      <c r="Q1036" s="6"/>
      <c r="R1036" s="16">
        <f t="shared" si="34"/>
        <v>0</v>
      </c>
      <c r="S1036" s="16"/>
      <c r="T1036" s="80" t="str">
        <f>IF(S1036="","",VLOOKUP(S1036,VALORACION!F:G,2,FALSE))</f>
        <v/>
      </c>
      <c r="U1036" s="11"/>
      <c r="V1036" s="80" t="str">
        <f>IF(U1036="","",VLOOKUP(U1036,ROLES!G:H,2,FALSE))</f>
        <v/>
      </c>
      <c r="W1036" s="6"/>
      <c r="X1036" s="6"/>
      <c r="Y1036" s="95" t="e">
        <f t="shared" si="33"/>
        <v>#VALUE!</v>
      </c>
      <c r="Z1036" s="6"/>
      <c r="AA1036" s="6"/>
    </row>
    <row r="1037" spans="1:27" ht="28.95" customHeight="1" x14ac:dyDescent="0.3">
      <c r="A1037" s="91"/>
      <c r="B1037" s="91"/>
      <c r="C1037" s="80"/>
      <c r="D1037" s="91"/>
      <c r="E1037" s="80"/>
      <c r="F1037" s="6"/>
      <c r="G1037" s="6"/>
      <c r="H1037" s="25"/>
      <c r="I1037" s="133"/>
      <c r="J1037" s="6"/>
      <c r="K1037" s="6"/>
      <c r="L1037" s="6"/>
      <c r="M1037" s="6"/>
      <c r="N1037" s="84"/>
      <c r="O1037" s="80" t="str">
        <f>IF(N1037="","",VLOOKUP(N1037,ROLES!B:C,2,FALSE))</f>
        <v/>
      </c>
      <c r="P1037" s="6"/>
      <c r="Q1037" s="6"/>
      <c r="R1037" s="16">
        <f t="shared" si="34"/>
        <v>0</v>
      </c>
      <c r="S1037" s="16"/>
      <c r="T1037" s="80" t="str">
        <f>IF(S1037="","",VLOOKUP(S1037,VALORACION!F:G,2,FALSE))</f>
        <v/>
      </c>
      <c r="U1037" s="11"/>
      <c r="V1037" s="80" t="str">
        <f>IF(U1037="","",VLOOKUP(U1037,ROLES!G:H,2,FALSE))</f>
        <v/>
      </c>
      <c r="W1037" s="6"/>
      <c r="X1037" s="6"/>
      <c r="Y1037" s="95" t="e">
        <f t="shared" si="33"/>
        <v>#VALUE!</v>
      </c>
      <c r="Z1037" s="6"/>
      <c r="AA1037" s="6"/>
    </row>
    <row r="1038" spans="1:27" ht="28.95" customHeight="1" x14ac:dyDescent="0.3">
      <c r="A1038" s="91"/>
      <c r="B1038" s="91"/>
      <c r="C1038" s="80"/>
      <c r="D1038" s="91"/>
      <c r="E1038" s="80"/>
      <c r="F1038" s="6"/>
      <c r="G1038" s="6"/>
      <c r="H1038" s="25"/>
      <c r="I1038" s="133"/>
      <c r="J1038" s="6"/>
      <c r="K1038" s="6"/>
      <c r="L1038" s="6"/>
      <c r="M1038" s="6"/>
      <c r="N1038" s="84"/>
      <c r="O1038" s="80" t="str">
        <f>IF(N1038="","",VLOOKUP(N1038,ROLES!B:C,2,FALSE))</f>
        <v/>
      </c>
      <c r="P1038" s="6"/>
      <c r="Q1038" s="6"/>
      <c r="R1038" s="16">
        <f t="shared" si="34"/>
        <v>0</v>
      </c>
      <c r="S1038" s="16"/>
      <c r="T1038" s="80" t="str">
        <f>IF(S1038="","",VLOOKUP(S1038,VALORACION!F:G,2,FALSE))</f>
        <v/>
      </c>
      <c r="U1038" s="11"/>
      <c r="V1038" s="80" t="str">
        <f>IF(U1038="","",VLOOKUP(U1038,ROLES!G:H,2,FALSE))</f>
        <v/>
      </c>
      <c r="W1038" s="6"/>
      <c r="X1038" s="6"/>
      <c r="Y1038" s="95" t="e">
        <f t="shared" si="33"/>
        <v>#VALUE!</v>
      </c>
      <c r="Z1038" s="6"/>
      <c r="AA1038" s="6"/>
    </row>
    <row r="1039" spans="1:27" ht="28.95" customHeight="1" x14ac:dyDescent="0.3">
      <c r="A1039" s="91"/>
      <c r="B1039" s="91"/>
      <c r="C1039" s="80"/>
      <c r="D1039" s="91"/>
      <c r="E1039" s="80"/>
      <c r="F1039" s="6"/>
      <c r="G1039" s="6"/>
      <c r="H1039" s="25"/>
      <c r="I1039" s="133"/>
      <c r="J1039" s="6"/>
      <c r="K1039" s="6"/>
      <c r="L1039" s="6"/>
      <c r="M1039" s="6"/>
      <c r="N1039" s="84"/>
      <c r="O1039" s="80" t="str">
        <f>IF(N1039="","",VLOOKUP(N1039,ROLES!B:C,2,FALSE))</f>
        <v/>
      </c>
      <c r="P1039" s="6"/>
      <c r="Q1039" s="6"/>
      <c r="R1039" s="16">
        <f t="shared" si="34"/>
        <v>0</v>
      </c>
      <c r="S1039" s="16"/>
      <c r="T1039" s="80" t="str">
        <f>IF(S1039="","",VLOOKUP(S1039,VALORACION!F:G,2,FALSE))</f>
        <v/>
      </c>
      <c r="U1039" s="11"/>
      <c r="V1039" s="80" t="str">
        <f>IF(U1039="","",VLOOKUP(U1039,ROLES!G:H,2,FALSE))</f>
        <v/>
      </c>
      <c r="W1039" s="6"/>
      <c r="X1039" s="6"/>
      <c r="Y1039" s="95" t="e">
        <f t="shared" si="33"/>
        <v>#VALUE!</v>
      </c>
      <c r="Z1039" s="6"/>
      <c r="AA1039" s="6"/>
    </row>
    <row r="1040" spans="1:27" ht="28.95" customHeight="1" x14ac:dyDescent="0.3">
      <c r="A1040" s="91"/>
      <c r="B1040" s="91"/>
      <c r="C1040" s="80"/>
      <c r="D1040" s="91"/>
      <c r="E1040" s="80"/>
      <c r="F1040" s="6"/>
      <c r="G1040" s="6"/>
      <c r="H1040" s="25"/>
      <c r="I1040" s="133"/>
      <c r="J1040" s="6"/>
      <c r="K1040" s="6"/>
      <c r="L1040" s="6"/>
      <c r="M1040" s="6"/>
      <c r="N1040" s="84"/>
      <c r="O1040" s="80" t="str">
        <f>IF(N1040="","",VLOOKUP(N1040,ROLES!B:C,2,FALSE))</f>
        <v/>
      </c>
      <c r="P1040" s="6"/>
      <c r="Q1040" s="6"/>
      <c r="R1040" s="16">
        <f t="shared" si="34"/>
        <v>0</v>
      </c>
      <c r="S1040" s="16"/>
      <c r="T1040" s="80" t="str">
        <f>IF(S1040="","",VLOOKUP(S1040,VALORACION!F:G,2,FALSE))</f>
        <v/>
      </c>
      <c r="U1040" s="11"/>
      <c r="V1040" s="80" t="str">
        <f>IF(U1040="","",VLOOKUP(U1040,ROLES!G:H,2,FALSE))</f>
        <v/>
      </c>
      <c r="W1040" s="6"/>
      <c r="X1040" s="6"/>
      <c r="Y1040" s="95" t="e">
        <f t="shared" si="33"/>
        <v>#VALUE!</v>
      </c>
      <c r="Z1040" s="6"/>
      <c r="AA1040" s="6"/>
    </row>
    <row r="1041" spans="1:27" ht="28.95" customHeight="1" x14ac:dyDescent="0.3">
      <c r="A1041" s="91"/>
      <c r="B1041" s="91"/>
      <c r="C1041" s="80"/>
      <c r="D1041" s="91"/>
      <c r="E1041" s="80"/>
      <c r="F1041" s="6"/>
      <c r="G1041" s="6"/>
      <c r="H1041" s="25"/>
      <c r="I1041" s="133"/>
      <c r="J1041" s="6"/>
      <c r="K1041" s="6"/>
      <c r="L1041" s="6"/>
      <c r="M1041" s="6"/>
      <c r="N1041" s="84"/>
      <c r="O1041" s="80" t="str">
        <f>IF(N1041="","",VLOOKUP(N1041,ROLES!B:C,2,FALSE))</f>
        <v/>
      </c>
      <c r="P1041" s="6"/>
      <c r="Q1041" s="6"/>
      <c r="R1041" s="16">
        <f t="shared" si="34"/>
        <v>0</v>
      </c>
      <c r="S1041" s="16"/>
      <c r="T1041" s="80" t="str">
        <f>IF(S1041="","",VLOOKUP(S1041,VALORACION!F:G,2,FALSE))</f>
        <v/>
      </c>
      <c r="U1041" s="11"/>
      <c r="V1041" s="80" t="str">
        <f>IF(U1041="","",VLOOKUP(U1041,ROLES!G:H,2,FALSE))</f>
        <v/>
      </c>
      <c r="W1041" s="6"/>
      <c r="X1041" s="6"/>
      <c r="Y1041" s="95" t="e">
        <f t="shared" si="33"/>
        <v>#VALUE!</v>
      </c>
      <c r="Z1041" s="6"/>
      <c r="AA1041" s="6"/>
    </row>
    <row r="1042" spans="1:27" ht="28.95" customHeight="1" x14ac:dyDescent="0.3">
      <c r="A1042" s="91"/>
      <c r="B1042" s="91"/>
      <c r="C1042" s="80"/>
      <c r="D1042" s="91"/>
      <c r="E1042" s="80"/>
      <c r="F1042" s="6"/>
      <c r="G1042" s="6"/>
      <c r="H1042" s="25"/>
      <c r="I1042" s="133"/>
      <c r="J1042" s="6"/>
      <c r="K1042" s="6"/>
      <c r="L1042" s="6"/>
      <c r="M1042" s="6"/>
      <c r="N1042" s="84"/>
      <c r="O1042" s="80" t="str">
        <f>IF(N1042="","",VLOOKUP(N1042,ROLES!B:C,2,FALSE))</f>
        <v/>
      </c>
      <c r="P1042" s="6"/>
      <c r="Q1042" s="6"/>
      <c r="R1042" s="16">
        <f t="shared" si="34"/>
        <v>0</v>
      </c>
      <c r="S1042" s="16"/>
      <c r="T1042" s="80" t="str">
        <f>IF(S1042="","",VLOOKUP(S1042,VALORACION!F:G,2,FALSE))</f>
        <v/>
      </c>
      <c r="U1042" s="11"/>
      <c r="V1042" s="80" t="str">
        <f>IF(U1042="","",VLOOKUP(U1042,ROLES!G:H,2,FALSE))</f>
        <v/>
      </c>
      <c r="W1042" s="6"/>
      <c r="X1042" s="6"/>
      <c r="Y1042" s="95" t="e">
        <f t="shared" si="33"/>
        <v>#VALUE!</v>
      </c>
      <c r="Z1042" s="6"/>
      <c r="AA1042" s="6"/>
    </row>
    <row r="1043" spans="1:27" ht="28.95" customHeight="1" x14ac:dyDescent="0.3">
      <c r="A1043" s="91"/>
      <c r="B1043" s="91"/>
      <c r="C1043" s="80"/>
      <c r="D1043" s="91"/>
      <c r="E1043" s="80"/>
      <c r="F1043" s="6"/>
      <c r="G1043" s="6"/>
      <c r="H1043" s="25"/>
      <c r="I1043" s="133"/>
      <c r="J1043" s="6"/>
      <c r="K1043" s="6"/>
      <c r="L1043" s="6"/>
      <c r="M1043" s="6"/>
      <c r="N1043" s="84"/>
      <c r="O1043" s="80" t="str">
        <f>IF(N1043="","",VLOOKUP(N1043,ROLES!B:C,2,FALSE))</f>
        <v/>
      </c>
      <c r="P1043" s="6"/>
      <c r="Q1043" s="6"/>
      <c r="R1043" s="16">
        <f t="shared" si="34"/>
        <v>0</v>
      </c>
      <c r="S1043" s="16"/>
      <c r="T1043" s="80" t="str">
        <f>IF(S1043="","",VLOOKUP(S1043,VALORACION!F:G,2,FALSE))</f>
        <v/>
      </c>
      <c r="U1043" s="11"/>
      <c r="V1043" s="80" t="str">
        <f>IF(U1043="","",VLOOKUP(U1043,ROLES!G:H,2,FALSE))</f>
        <v/>
      </c>
      <c r="W1043" s="6"/>
      <c r="X1043" s="6"/>
      <c r="Y1043" s="95" t="e">
        <f t="shared" si="33"/>
        <v>#VALUE!</v>
      </c>
      <c r="Z1043" s="6"/>
      <c r="AA1043" s="6"/>
    </row>
    <row r="1044" spans="1:27" ht="28.95" customHeight="1" x14ac:dyDescent="0.3">
      <c r="A1044" s="91"/>
      <c r="B1044" s="91"/>
      <c r="C1044" s="80"/>
      <c r="D1044" s="91"/>
      <c r="E1044" s="80"/>
      <c r="F1044" s="6"/>
      <c r="G1044" s="6"/>
      <c r="H1044" s="25"/>
      <c r="I1044" s="133"/>
      <c r="J1044" s="6"/>
      <c r="K1044" s="6"/>
      <c r="L1044" s="6"/>
      <c r="M1044" s="6"/>
      <c r="N1044" s="84"/>
      <c r="O1044" s="80" t="str">
        <f>IF(N1044="","",VLOOKUP(N1044,ROLES!B:C,2,FALSE))</f>
        <v/>
      </c>
      <c r="P1044" s="6"/>
      <c r="Q1044" s="6"/>
      <c r="R1044" s="16">
        <f t="shared" si="34"/>
        <v>0</v>
      </c>
      <c r="S1044" s="16"/>
      <c r="T1044" s="80" t="str">
        <f>IF(S1044="","",VLOOKUP(S1044,VALORACION!F:G,2,FALSE))</f>
        <v/>
      </c>
      <c r="U1044" s="11"/>
      <c r="V1044" s="80" t="str">
        <f>IF(U1044="","",VLOOKUP(U1044,ROLES!G:H,2,FALSE))</f>
        <v/>
      </c>
      <c r="W1044" s="6"/>
      <c r="X1044" s="6"/>
      <c r="Y1044" s="95" t="e">
        <f t="shared" si="33"/>
        <v>#VALUE!</v>
      </c>
      <c r="Z1044" s="6"/>
      <c r="AA1044" s="6"/>
    </row>
    <row r="1045" spans="1:27" ht="28.95" customHeight="1" x14ac:dyDescent="0.3">
      <c r="A1045" s="91"/>
      <c r="B1045" s="91"/>
      <c r="C1045" s="80"/>
      <c r="D1045" s="91"/>
      <c r="E1045" s="80"/>
      <c r="F1045" s="6"/>
      <c r="G1045" s="6"/>
      <c r="H1045" s="25"/>
      <c r="I1045" s="133"/>
      <c r="J1045" s="6"/>
      <c r="K1045" s="6"/>
      <c r="L1045" s="6"/>
      <c r="M1045" s="6"/>
      <c r="N1045" s="84"/>
      <c r="O1045" s="80" t="str">
        <f>IF(N1045="","",VLOOKUP(N1045,ROLES!B:C,2,FALSE))</f>
        <v/>
      </c>
      <c r="P1045" s="6"/>
      <c r="Q1045" s="6"/>
      <c r="R1045" s="16">
        <f t="shared" si="34"/>
        <v>0</v>
      </c>
      <c r="S1045" s="16"/>
      <c r="T1045" s="80" t="str">
        <f>IF(S1045="","",VLOOKUP(S1045,VALORACION!F:G,2,FALSE))</f>
        <v/>
      </c>
      <c r="U1045" s="11"/>
      <c r="V1045" s="80" t="str">
        <f>IF(U1045="","",VLOOKUP(U1045,ROLES!G:H,2,FALSE))</f>
        <v/>
      </c>
      <c r="W1045" s="6"/>
      <c r="X1045" s="6"/>
      <c r="Y1045" s="95" t="e">
        <f t="shared" si="33"/>
        <v>#VALUE!</v>
      </c>
      <c r="Z1045" s="6"/>
      <c r="AA1045" s="6"/>
    </row>
    <row r="1046" spans="1:27" ht="28.95" customHeight="1" x14ac:dyDescent="0.3">
      <c r="A1046" s="91"/>
      <c r="B1046" s="91"/>
      <c r="C1046" s="80"/>
      <c r="D1046" s="91"/>
      <c r="E1046" s="80"/>
      <c r="F1046" s="6"/>
      <c r="G1046" s="6"/>
      <c r="H1046" s="25"/>
      <c r="I1046" s="133"/>
      <c r="J1046" s="6"/>
      <c r="K1046" s="6"/>
      <c r="L1046" s="6"/>
      <c r="M1046" s="6"/>
      <c r="N1046" s="84"/>
      <c r="O1046" s="80" t="str">
        <f>IF(N1046="","",VLOOKUP(N1046,ROLES!B:C,2,FALSE))</f>
        <v/>
      </c>
      <c r="P1046" s="6"/>
      <c r="Q1046" s="6"/>
      <c r="R1046" s="16">
        <f t="shared" si="34"/>
        <v>0</v>
      </c>
      <c r="S1046" s="16"/>
      <c r="T1046" s="80" t="str">
        <f>IF(S1046="","",VLOOKUP(S1046,VALORACION!F:G,2,FALSE))</f>
        <v/>
      </c>
      <c r="U1046" s="11"/>
      <c r="V1046" s="80" t="str">
        <f>IF(U1046="","",VLOOKUP(U1046,ROLES!G:H,2,FALSE))</f>
        <v/>
      </c>
      <c r="W1046" s="6"/>
      <c r="X1046" s="6"/>
      <c r="Y1046" s="95" t="e">
        <f t="shared" si="33"/>
        <v>#VALUE!</v>
      </c>
      <c r="Z1046" s="6"/>
      <c r="AA1046" s="6"/>
    </row>
    <row r="1047" spans="1:27" ht="28.95" customHeight="1" x14ac:dyDescent="0.3">
      <c r="A1047" s="91"/>
      <c r="B1047" s="91"/>
      <c r="C1047" s="80"/>
      <c r="D1047" s="91"/>
      <c r="E1047" s="80"/>
      <c r="F1047" s="6"/>
      <c r="G1047" s="6"/>
      <c r="H1047" s="25"/>
      <c r="I1047" s="133"/>
      <c r="J1047" s="6"/>
      <c r="K1047" s="6"/>
      <c r="L1047" s="6"/>
      <c r="M1047" s="6"/>
      <c r="N1047" s="84"/>
      <c r="O1047" s="80" t="str">
        <f>IF(N1047="","",VLOOKUP(N1047,ROLES!B:C,2,FALSE))</f>
        <v/>
      </c>
      <c r="P1047" s="6"/>
      <c r="Q1047" s="6"/>
      <c r="R1047" s="16">
        <f t="shared" si="34"/>
        <v>0</v>
      </c>
      <c r="S1047" s="16"/>
      <c r="T1047" s="80" t="str">
        <f>IF(S1047="","",VLOOKUP(S1047,VALORACION!F:G,2,FALSE))</f>
        <v/>
      </c>
      <c r="U1047" s="11"/>
      <c r="V1047" s="80" t="str">
        <f>IF(U1047="","",VLOOKUP(U1047,ROLES!G:H,2,FALSE))</f>
        <v/>
      </c>
      <c r="W1047" s="6"/>
      <c r="X1047" s="6"/>
      <c r="Y1047" s="95" t="e">
        <f t="shared" si="33"/>
        <v>#VALUE!</v>
      </c>
      <c r="Z1047" s="6"/>
      <c r="AA1047" s="6"/>
    </row>
    <row r="1048" spans="1:27" ht="28.95" customHeight="1" x14ac:dyDescent="0.3">
      <c r="A1048" s="91"/>
      <c r="B1048" s="91"/>
      <c r="C1048" s="80"/>
      <c r="D1048" s="91"/>
      <c r="E1048" s="80"/>
      <c r="F1048" s="6"/>
      <c r="G1048" s="6"/>
      <c r="H1048" s="25"/>
      <c r="I1048" s="133"/>
      <c r="J1048" s="6"/>
      <c r="K1048" s="6"/>
      <c r="L1048" s="6"/>
      <c r="M1048" s="6"/>
      <c r="N1048" s="84"/>
      <c r="O1048" s="80" t="str">
        <f>IF(N1048="","",VLOOKUP(N1048,ROLES!B:C,2,FALSE))</f>
        <v/>
      </c>
      <c r="P1048" s="6"/>
      <c r="Q1048" s="6"/>
      <c r="R1048" s="16">
        <f t="shared" si="34"/>
        <v>0</v>
      </c>
      <c r="S1048" s="16"/>
      <c r="T1048" s="80" t="str">
        <f>IF(S1048="","",VLOOKUP(S1048,VALORACION!F:G,2,FALSE))</f>
        <v/>
      </c>
      <c r="U1048" s="11"/>
      <c r="V1048" s="80" t="str">
        <f>IF(U1048="","",VLOOKUP(U1048,ROLES!G:H,2,FALSE))</f>
        <v/>
      </c>
      <c r="W1048" s="6"/>
      <c r="X1048" s="6"/>
      <c r="Y1048" s="95" t="e">
        <f t="shared" si="33"/>
        <v>#VALUE!</v>
      </c>
      <c r="Z1048" s="6"/>
      <c r="AA1048" s="6"/>
    </row>
    <row r="1049" spans="1:27" ht="28.95" customHeight="1" x14ac:dyDescent="0.3">
      <c r="A1049" s="91"/>
      <c r="B1049" s="91"/>
      <c r="C1049" s="80"/>
      <c r="D1049" s="91"/>
      <c r="E1049" s="80"/>
      <c r="F1049" s="6"/>
      <c r="G1049" s="6"/>
      <c r="H1049" s="25"/>
      <c r="I1049" s="133"/>
      <c r="J1049" s="6"/>
      <c r="K1049" s="6"/>
      <c r="L1049" s="6"/>
      <c r="M1049" s="6"/>
      <c r="N1049" s="84"/>
      <c r="O1049" s="80" t="str">
        <f>IF(N1049="","",VLOOKUP(N1049,ROLES!B:C,2,FALSE))</f>
        <v/>
      </c>
      <c r="P1049" s="6"/>
      <c r="Q1049" s="6"/>
      <c r="R1049" s="16">
        <f t="shared" si="34"/>
        <v>0</v>
      </c>
      <c r="S1049" s="16"/>
      <c r="T1049" s="80" t="str">
        <f>IF(S1049="","",VLOOKUP(S1049,VALORACION!F:G,2,FALSE))</f>
        <v/>
      </c>
      <c r="U1049" s="11"/>
      <c r="V1049" s="80" t="str">
        <f>IF(U1049="","",VLOOKUP(U1049,ROLES!G:H,2,FALSE))</f>
        <v/>
      </c>
      <c r="W1049" s="6"/>
      <c r="X1049" s="6"/>
      <c r="Y1049" s="95" t="e">
        <f t="shared" si="33"/>
        <v>#VALUE!</v>
      </c>
      <c r="Z1049" s="6"/>
      <c r="AA1049" s="6"/>
    </row>
    <row r="1050" spans="1:27" ht="28.95" customHeight="1" x14ac:dyDescent="0.3">
      <c r="A1050" s="91"/>
      <c r="B1050" s="91"/>
      <c r="C1050" s="80"/>
      <c r="D1050" s="91"/>
      <c r="E1050" s="80"/>
      <c r="F1050" s="6"/>
      <c r="G1050" s="6"/>
      <c r="H1050" s="25"/>
      <c r="I1050" s="133"/>
      <c r="J1050" s="6"/>
      <c r="K1050" s="6"/>
      <c r="L1050" s="6"/>
      <c r="M1050" s="6"/>
      <c r="N1050" s="84"/>
      <c r="O1050" s="80" t="str">
        <f>IF(N1050="","",VLOOKUP(N1050,ROLES!B:C,2,FALSE))</f>
        <v/>
      </c>
      <c r="P1050" s="6"/>
      <c r="Q1050" s="6"/>
      <c r="R1050" s="16">
        <f t="shared" si="34"/>
        <v>0</v>
      </c>
      <c r="S1050" s="16"/>
      <c r="T1050" s="80" t="str">
        <f>IF(S1050="","",VLOOKUP(S1050,VALORACION!F:G,2,FALSE))</f>
        <v/>
      </c>
      <c r="U1050" s="11"/>
      <c r="V1050" s="80" t="str">
        <f>IF(U1050="","",VLOOKUP(U1050,ROLES!G:H,2,FALSE))</f>
        <v/>
      </c>
      <c r="W1050" s="6"/>
      <c r="X1050" s="6"/>
      <c r="Y1050" s="95" t="e">
        <f t="shared" si="33"/>
        <v>#VALUE!</v>
      </c>
      <c r="Z1050" s="6"/>
      <c r="AA1050" s="6"/>
    </row>
    <row r="1051" spans="1:27" ht="28.95" customHeight="1" x14ac:dyDescent="0.3">
      <c r="A1051" s="91"/>
      <c r="B1051" s="91"/>
      <c r="C1051" s="80"/>
      <c r="D1051" s="91"/>
      <c r="E1051" s="80"/>
      <c r="F1051" s="6"/>
      <c r="G1051" s="6"/>
      <c r="H1051" s="25"/>
      <c r="I1051" s="133"/>
      <c r="J1051" s="6"/>
      <c r="K1051" s="6"/>
      <c r="L1051" s="6"/>
      <c r="M1051" s="6"/>
      <c r="N1051" s="84"/>
      <c r="O1051" s="80" t="str">
        <f>IF(N1051="","",VLOOKUP(N1051,ROLES!B:C,2,FALSE))</f>
        <v/>
      </c>
      <c r="P1051" s="6"/>
      <c r="Q1051" s="6"/>
      <c r="R1051" s="16">
        <f t="shared" si="34"/>
        <v>0</v>
      </c>
      <c r="S1051" s="16"/>
      <c r="T1051" s="80" t="str">
        <f>IF(S1051="","",VLOOKUP(S1051,VALORACION!F:G,2,FALSE))</f>
        <v/>
      </c>
      <c r="U1051" s="11"/>
      <c r="V1051" s="80" t="str">
        <f>IF(U1051="","",VLOOKUP(U1051,ROLES!G:H,2,FALSE))</f>
        <v/>
      </c>
      <c r="W1051" s="6"/>
      <c r="X1051" s="6"/>
      <c r="Y1051" s="95" t="e">
        <f t="shared" si="33"/>
        <v>#VALUE!</v>
      </c>
      <c r="Z1051" s="6"/>
      <c r="AA1051" s="6"/>
    </row>
    <row r="1052" spans="1:27" ht="28.95" customHeight="1" x14ac:dyDescent="0.3">
      <c r="A1052" s="91"/>
      <c r="B1052" s="91"/>
      <c r="C1052" s="80"/>
      <c r="D1052" s="91"/>
      <c r="E1052" s="80"/>
      <c r="F1052" s="6"/>
      <c r="G1052" s="6"/>
      <c r="H1052" s="25"/>
      <c r="I1052" s="133"/>
      <c r="J1052" s="6"/>
      <c r="K1052" s="6"/>
      <c r="L1052" s="6"/>
      <c r="M1052" s="6"/>
      <c r="N1052" s="84"/>
      <c r="O1052" s="80" t="str">
        <f>IF(N1052="","",VLOOKUP(N1052,ROLES!B:C,2,FALSE))</f>
        <v/>
      </c>
      <c r="P1052" s="6"/>
      <c r="Q1052" s="6"/>
      <c r="R1052" s="16">
        <f t="shared" si="34"/>
        <v>0</v>
      </c>
      <c r="S1052" s="16"/>
      <c r="T1052" s="80" t="str">
        <f>IF(S1052="","",VLOOKUP(S1052,VALORACION!F:G,2,FALSE))</f>
        <v/>
      </c>
      <c r="U1052" s="11"/>
      <c r="V1052" s="80" t="str">
        <f>IF(U1052="","",VLOOKUP(U1052,ROLES!G:H,2,FALSE))</f>
        <v/>
      </c>
      <c r="W1052" s="6"/>
      <c r="X1052" s="6"/>
      <c r="Y1052" s="95" t="e">
        <f t="shared" si="33"/>
        <v>#VALUE!</v>
      </c>
      <c r="Z1052" s="6"/>
      <c r="AA1052" s="6"/>
    </row>
    <row r="1053" spans="1:27" ht="28.95" customHeight="1" x14ac:dyDescent="0.3">
      <c r="A1053" s="91"/>
      <c r="B1053" s="91"/>
      <c r="C1053" s="80"/>
      <c r="D1053" s="91"/>
      <c r="E1053" s="80"/>
      <c r="F1053" s="6"/>
      <c r="G1053" s="6"/>
      <c r="H1053" s="25"/>
      <c r="I1053" s="133"/>
      <c r="J1053" s="6"/>
      <c r="K1053" s="6"/>
      <c r="L1053" s="6"/>
      <c r="M1053" s="6"/>
      <c r="N1053" s="84"/>
      <c r="O1053" s="80" t="str">
        <f>IF(N1053="","",VLOOKUP(N1053,ROLES!B:C,2,FALSE))</f>
        <v/>
      </c>
      <c r="P1053" s="6"/>
      <c r="Q1053" s="6"/>
      <c r="R1053" s="16">
        <f t="shared" si="34"/>
        <v>0</v>
      </c>
      <c r="S1053" s="16"/>
      <c r="T1053" s="80" t="str">
        <f>IF(S1053="","",VLOOKUP(S1053,VALORACION!F:G,2,FALSE))</f>
        <v/>
      </c>
      <c r="U1053" s="11"/>
      <c r="V1053" s="80" t="str">
        <f>IF(U1053="","",VLOOKUP(U1053,ROLES!G:H,2,FALSE))</f>
        <v/>
      </c>
      <c r="W1053" s="6"/>
      <c r="X1053" s="6"/>
      <c r="Y1053" s="95" t="e">
        <f t="shared" si="33"/>
        <v>#VALUE!</v>
      </c>
      <c r="Z1053" s="6"/>
      <c r="AA1053" s="6"/>
    </row>
    <row r="1054" spans="1:27" ht="28.95" customHeight="1" x14ac:dyDescent="0.3">
      <c r="A1054" s="91"/>
      <c r="B1054" s="91"/>
      <c r="C1054" s="80"/>
      <c r="D1054" s="91"/>
      <c r="E1054" s="80"/>
      <c r="F1054" s="6"/>
      <c r="G1054" s="6"/>
      <c r="H1054" s="25"/>
      <c r="I1054" s="133"/>
      <c r="J1054" s="6"/>
      <c r="K1054" s="6"/>
      <c r="L1054" s="6"/>
      <c r="M1054" s="6"/>
      <c r="N1054" s="84"/>
      <c r="O1054" s="80" t="str">
        <f>IF(N1054="","",VLOOKUP(N1054,ROLES!B:C,2,FALSE))</f>
        <v/>
      </c>
      <c r="P1054" s="6"/>
      <c r="Q1054" s="6"/>
      <c r="R1054" s="16">
        <f t="shared" si="34"/>
        <v>0</v>
      </c>
      <c r="S1054" s="16"/>
      <c r="T1054" s="80" t="str">
        <f>IF(S1054="","",VLOOKUP(S1054,VALORACION!F:G,2,FALSE))</f>
        <v/>
      </c>
      <c r="U1054" s="11"/>
      <c r="V1054" s="80" t="str">
        <f>IF(U1054="","",VLOOKUP(U1054,ROLES!G:H,2,FALSE))</f>
        <v/>
      </c>
      <c r="W1054" s="6"/>
      <c r="X1054" s="6"/>
      <c r="Y1054" s="95" t="e">
        <f t="shared" si="33"/>
        <v>#VALUE!</v>
      </c>
      <c r="Z1054" s="6"/>
      <c r="AA1054" s="6"/>
    </row>
    <row r="1055" spans="1:27" ht="28.95" customHeight="1" x14ac:dyDescent="0.3">
      <c r="A1055" s="91"/>
      <c r="B1055" s="91"/>
      <c r="C1055" s="80"/>
      <c r="D1055" s="91"/>
      <c r="E1055" s="80"/>
      <c r="F1055" s="6"/>
      <c r="G1055" s="6"/>
      <c r="H1055" s="25"/>
      <c r="I1055" s="133"/>
      <c r="J1055" s="6"/>
      <c r="K1055" s="6"/>
      <c r="L1055" s="6"/>
      <c r="M1055" s="6"/>
      <c r="N1055" s="84"/>
      <c r="O1055" s="80" t="str">
        <f>IF(N1055="","",VLOOKUP(N1055,ROLES!B:C,2,FALSE))</f>
        <v/>
      </c>
      <c r="P1055" s="6"/>
      <c r="Q1055" s="6"/>
      <c r="R1055" s="16">
        <f t="shared" si="34"/>
        <v>0</v>
      </c>
      <c r="S1055" s="16"/>
      <c r="T1055" s="80" t="str">
        <f>IF(S1055="","",VLOOKUP(S1055,VALORACION!F:G,2,FALSE))</f>
        <v/>
      </c>
      <c r="U1055" s="11"/>
      <c r="V1055" s="80" t="str">
        <f>IF(U1055="","",VLOOKUP(U1055,ROLES!G:H,2,FALSE))</f>
        <v/>
      </c>
      <c r="W1055" s="6"/>
      <c r="X1055" s="6"/>
      <c r="Y1055" s="95" t="e">
        <f t="shared" si="33"/>
        <v>#VALUE!</v>
      </c>
      <c r="Z1055" s="6"/>
      <c r="AA1055" s="6"/>
    </row>
    <row r="1056" spans="1:27" ht="28.95" customHeight="1" x14ac:dyDescent="0.3">
      <c r="A1056" s="91"/>
      <c r="B1056" s="91"/>
      <c r="C1056" s="80"/>
      <c r="D1056" s="91"/>
      <c r="E1056" s="80"/>
      <c r="F1056" s="6"/>
      <c r="G1056" s="6"/>
      <c r="H1056" s="25"/>
      <c r="I1056" s="133"/>
      <c r="J1056" s="6"/>
      <c r="K1056" s="6"/>
      <c r="L1056" s="6"/>
      <c r="M1056" s="6"/>
      <c r="N1056" s="84"/>
      <c r="O1056" s="80" t="str">
        <f>IF(N1056="","",VLOOKUP(N1056,ROLES!B:C,2,FALSE))</f>
        <v/>
      </c>
      <c r="P1056" s="6"/>
      <c r="Q1056" s="6"/>
      <c r="R1056" s="16">
        <f t="shared" si="34"/>
        <v>0</v>
      </c>
      <c r="S1056" s="16"/>
      <c r="T1056" s="80" t="str">
        <f>IF(S1056="","",VLOOKUP(S1056,VALORACION!F:G,2,FALSE))</f>
        <v/>
      </c>
      <c r="U1056" s="11"/>
      <c r="V1056" s="80" t="str">
        <f>IF(U1056="","",VLOOKUP(U1056,ROLES!G:H,2,FALSE))</f>
        <v/>
      </c>
      <c r="W1056" s="6"/>
      <c r="X1056" s="6"/>
      <c r="Y1056" s="95" t="e">
        <f t="shared" si="33"/>
        <v>#VALUE!</v>
      </c>
      <c r="Z1056" s="6"/>
      <c r="AA1056" s="6"/>
    </row>
    <row r="1057" spans="1:27" ht="28.95" customHeight="1" x14ac:dyDescent="0.3">
      <c r="A1057" s="91"/>
      <c r="B1057" s="91"/>
      <c r="C1057" s="80"/>
      <c r="D1057" s="91"/>
      <c r="E1057" s="80"/>
      <c r="F1057" s="6"/>
      <c r="G1057" s="6"/>
      <c r="H1057" s="25"/>
      <c r="I1057" s="133"/>
      <c r="J1057" s="6"/>
      <c r="K1057" s="6"/>
      <c r="L1057" s="6"/>
      <c r="M1057" s="6"/>
      <c r="N1057" s="84"/>
      <c r="O1057" s="80" t="str">
        <f>IF(N1057="","",VLOOKUP(N1057,ROLES!B:C,2,FALSE))</f>
        <v/>
      </c>
      <c r="P1057" s="6"/>
      <c r="Q1057" s="6"/>
      <c r="R1057" s="16">
        <f t="shared" si="34"/>
        <v>0</v>
      </c>
      <c r="S1057" s="16"/>
      <c r="T1057" s="80" t="str">
        <f>IF(S1057="","",VLOOKUP(S1057,VALORACION!F:G,2,FALSE))</f>
        <v/>
      </c>
      <c r="U1057" s="11"/>
      <c r="V1057" s="80" t="str">
        <f>IF(U1057="","",VLOOKUP(U1057,ROLES!G:H,2,FALSE))</f>
        <v/>
      </c>
      <c r="W1057" s="6"/>
      <c r="X1057" s="6"/>
      <c r="Y1057" s="95" t="e">
        <f t="shared" si="33"/>
        <v>#VALUE!</v>
      </c>
      <c r="Z1057" s="6"/>
      <c r="AA1057" s="6"/>
    </row>
    <row r="1058" spans="1:27" ht="28.95" customHeight="1" x14ac:dyDescent="0.3">
      <c r="A1058" s="91"/>
      <c r="B1058" s="91"/>
      <c r="C1058" s="80"/>
      <c r="D1058" s="91"/>
      <c r="E1058" s="80"/>
      <c r="F1058" s="6"/>
      <c r="G1058" s="6"/>
      <c r="H1058" s="25"/>
      <c r="I1058" s="133"/>
      <c r="J1058" s="6"/>
      <c r="K1058" s="6"/>
      <c r="L1058" s="6"/>
      <c r="M1058" s="6"/>
      <c r="N1058" s="84"/>
      <c r="O1058" s="80" t="str">
        <f>IF(N1058="","",VLOOKUP(N1058,ROLES!B:C,2,FALSE))</f>
        <v/>
      </c>
      <c r="P1058" s="6"/>
      <c r="Q1058" s="6"/>
      <c r="R1058" s="16">
        <f t="shared" si="34"/>
        <v>0</v>
      </c>
      <c r="S1058" s="16"/>
      <c r="T1058" s="80" t="str">
        <f>IF(S1058="","",VLOOKUP(S1058,VALORACION!F:G,2,FALSE))</f>
        <v/>
      </c>
      <c r="U1058" s="11"/>
      <c r="V1058" s="80" t="str">
        <f>IF(U1058="","",VLOOKUP(U1058,ROLES!G:H,2,FALSE))</f>
        <v/>
      </c>
      <c r="W1058" s="6"/>
      <c r="X1058" s="6"/>
      <c r="Y1058" s="95" t="e">
        <f t="shared" si="33"/>
        <v>#VALUE!</v>
      </c>
      <c r="Z1058" s="6"/>
      <c r="AA1058" s="6"/>
    </row>
    <row r="1059" spans="1:27" ht="28.95" customHeight="1" x14ac:dyDescent="0.3">
      <c r="A1059" s="91"/>
      <c r="B1059" s="91"/>
      <c r="C1059" s="80"/>
      <c r="D1059" s="91"/>
      <c r="E1059" s="80"/>
      <c r="F1059" s="6"/>
      <c r="G1059" s="6"/>
      <c r="H1059" s="25"/>
      <c r="I1059" s="133"/>
      <c r="J1059" s="6"/>
      <c r="K1059" s="6"/>
      <c r="L1059" s="6"/>
      <c r="M1059" s="6"/>
      <c r="N1059" s="84"/>
      <c r="O1059" s="80" t="str">
        <f>IF(N1059="","",VLOOKUP(N1059,ROLES!B:C,2,FALSE))</f>
        <v/>
      </c>
      <c r="P1059" s="6"/>
      <c r="Q1059" s="6"/>
      <c r="R1059" s="16">
        <f t="shared" si="34"/>
        <v>0</v>
      </c>
      <c r="S1059" s="16"/>
      <c r="T1059" s="80" t="str">
        <f>IF(S1059="","",VLOOKUP(S1059,VALORACION!F:G,2,FALSE))</f>
        <v/>
      </c>
      <c r="U1059" s="11"/>
      <c r="V1059" s="80" t="str">
        <f>IF(U1059="","",VLOOKUP(U1059,ROLES!G:H,2,FALSE))</f>
        <v/>
      </c>
      <c r="W1059" s="6"/>
      <c r="X1059" s="6"/>
      <c r="Y1059" s="95" t="e">
        <f t="shared" si="33"/>
        <v>#VALUE!</v>
      </c>
      <c r="Z1059" s="6"/>
      <c r="AA1059" s="6"/>
    </row>
    <row r="1060" spans="1:27" ht="28.95" customHeight="1" x14ac:dyDescent="0.3">
      <c r="A1060" s="91"/>
      <c r="B1060" s="91"/>
      <c r="C1060" s="80"/>
      <c r="D1060" s="91"/>
      <c r="E1060" s="80"/>
      <c r="F1060" s="6"/>
      <c r="G1060" s="6"/>
      <c r="H1060" s="25"/>
      <c r="I1060" s="133"/>
      <c r="J1060" s="6"/>
      <c r="K1060" s="6"/>
      <c r="L1060" s="6"/>
      <c r="M1060" s="6"/>
      <c r="N1060" s="84"/>
      <c r="O1060" s="80" t="str">
        <f>IF(N1060="","",VLOOKUP(N1060,ROLES!B:C,2,FALSE))</f>
        <v/>
      </c>
      <c r="P1060" s="6"/>
      <c r="Q1060" s="6"/>
      <c r="R1060" s="16">
        <f t="shared" si="34"/>
        <v>0</v>
      </c>
      <c r="S1060" s="16"/>
      <c r="T1060" s="80" t="str">
        <f>IF(S1060="","",VLOOKUP(S1060,VALORACION!F:G,2,FALSE))</f>
        <v/>
      </c>
      <c r="U1060" s="11"/>
      <c r="V1060" s="80" t="str">
        <f>IF(U1060="","",VLOOKUP(U1060,ROLES!G:H,2,FALSE))</f>
        <v/>
      </c>
      <c r="W1060" s="6"/>
      <c r="X1060" s="6"/>
      <c r="Y1060" s="95" t="e">
        <f t="shared" si="33"/>
        <v>#VALUE!</v>
      </c>
      <c r="Z1060" s="6"/>
      <c r="AA1060" s="6"/>
    </row>
    <row r="1061" spans="1:27" ht="28.95" customHeight="1" x14ac:dyDescent="0.3">
      <c r="A1061" s="91"/>
      <c r="B1061" s="91"/>
      <c r="C1061" s="80"/>
      <c r="D1061" s="91"/>
      <c r="E1061" s="80"/>
      <c r="F1061" s="6"/>
      <c r="G1061" s="6"/>
      <c r="H1061" s="25"/>
      <c r="I1061" s="133"/>
      <c r="J1061" s="6"/>
      <c r="K1061" s="6"/>
      <c r="L1061" s="6"/>
      <c r="M1061" s="6"/>
      <c r="N1061" s="84"/>
      <c r="O1061" s="80" t="str">
        <f>IF(N1061="","",VLOOKUP(N1061,ROLES!B:C,2,FALSE))</f>
        <v/>
      </c>
      <c r="P1061" s="6"/>
      <c r="Q1061" s="6"/>
      <c r="R1061" s="16">
        <f t="shared" si="34"/>
        <v>0</v>
      </c>
      <c r="S1061" s="16"/>
      <c r="T1061" s="80" t="str">
        <f>IF(S1061="","",VLOOKUP(S1061,VALORACION!F:G,2,FALSE))</f>
        <v/>
      </c>
      <c r="U1061" s="11"/>
      <c r="V1061" s="80" t="str">
        <f>IF(U1061="","",VLOOKUP(U1061,ROLES!G:H,2,FALSE))</f>
        <v/>
      </c>
      <c r="W1061" s="6"/>
      <c r="X1061" s="6"/>
      <c r="Y1061" s="95" t="e">
        <f t="shared" si="33"/>
        <v>#VALUE!</v>
      </c>
      <c r="Z1061" s="6"/>
      <c r="AA1061" s="6"/>
    </row>
    <row r="1062" spans="1:27" ht="28.95" customHeight="1" x14ac:dyDescent="0.3">
      <c r="A1062" s="91"/>
      <c r="B1062" s="91"/>
      <c r="C1062" s="80"/>
      <c r="D1062" s="91"/>
      <c r="E1062" s="80"/>
      <c r="F1062" s="6"/>
      <c r="G1062" s="6"/>
      <c r="H1062" s="25"/>
      <c r="I1062" s="133"/>
      <c r="J1062" s="6"/>
      <c r="K1062" s="6"/>
      <c r="L1062" s="6"/>
      <c r="M1062" s="6"/>
      <c r="N1062" s="84"/>
      <c r="O1062" s="80" t="str">
        <f>IF(N1062="","",VLOOKUP(N1062,ROLES!B:C,2,FALSE))</f>
        <v/>
      </c>
      <c r="P1062" s="6"/>
      <c r="Q1062" s="6"/>
      <c r="R1062" s="16">
        <f t="shared" si="34"/>
        <v>0</v>
      </c>
      <c r="S1062" s="16"/>
      <c r="T1062" s="80" t="str">
        <f>IF(S1062="","",VLOOKUP(S1062,VALORACION!F:G,2,FALSE))</f>
        <v/>
      </c>
      <c r="U1062" s="11"/>
      <c r="V1062" s="80" t="str">
        <f>IF(U1062="","",VLOOKUP(U1062,ROLES!G:H,2,FALSE))</f>
        <v/>
      </c>
      <c r="W1062" s="6"/>
      <c r="X1062" s="6"/>
      <c r="Y1062" s="95" t="e">
        <f t="shared" si="33"/>
        <v>#VALUE!</v>
      </c>
      <c r="Z1062" s="6"/>
      <c r="AA1062" s="6"/>
    </row>
    <row r="1063" spans="1:27" ht="28.95" customHeight="1" x14ac:dyDescent="0.3">
      <c r="A1063" s="91"/>
      <c r="B1063" s="91"/>
      <c r="C1063" s="80"/>
      <c r="D1063" s="91"/>
      <c r="E1063" s="80"/>
      <c r="F1063" s="6"/>
      <c r="G1063" s="6"/>
      <c r="H1063" s="25"/>
      <c r="I1063" s="133"/>
      <c r="J1063" s="6"/>
      <c r="K1063" s="6"/>
      <c r="L1063" s="6"/>
      <c r="M1063" s="6"/>
      <c r="N1063" s="84"/>
      <c r="O1063" s="80" t="str">
        <f>IF(N1063="","",VLOOKUP(N1063,ROLES!B:C,2,FALSE))</f>
        <v/>
      </c>
      <c r="P1063" s="6"/>
      <c r="Q1063" s="6"/>
      <c r="R1063" s="16">
        <f t="shared" si="34"/>
        <v>0</v>
      </c>
      <c r="S1063" s="16"/>
      <c r="T1063" s="80" t="str">
        <f>IF(S1063="","",VLOOKUP(S1063,VALORACION!F:G,2,FALSE))</f>
        <v/>
      </c>
      <c r="U1063" s="11"/>
      <c r="V1063" s="80" t="str">
        <f>IF(U1063="","",VLOOKUP(U1063,ROLES!G:H,2,FALSE))</f>
        <v/>
      </c>
      <c r="W1063" s="6"/>
      <c r="X1063" s="6"/>
      <c r="Y1063" s="95" t="e">
        <f t="shared" si="33"/>
        <v>#VALUE!</v>
      </c>
      <c r="Z1063" s="6"/>
      <c r="AA1063" s="6"/>
    </row>
    <row r="1064" spans="1:27" ht="28.95" customHeight="1" x14ac:dyDescent="0.3">
      <c r="A1064" s="91"/>
      <c r="B1064" s="91"/>
      <c r="C1064" s="80"/>
      <c r="D1064" s="91"/>
      <c r="E1064" s="80"/>
      <c r="F1064" s="6"/>
      <c r="G1064" s="6"/>
      <c r="H1064" s="25"/>
      <c r="I1064" s="133"/>
      <c r="J1064" s="6"/>
      <c r="K1064" s="6"/>
      <c r="L1064" s="6"/>
      <c r="M1064" s="6"/>
      <c r="N1064" s="84"/>
      <c r="O1064" s="80" t="str">
        <f>IF(N1064="","",VLOOKUP(N1064,ROLES!B:C,2,FALSE))</f>
        <v/>
      </c>
      <c r="P1064" s="6"/>
      <c r="Q1064" s="6"/>
      <c r="R1064" s="16">
        <f t="shared" si="34"/>
        <v>0</v>
      </c>
      <c r="S1064" s="16"/>
      <c r="T1064" s="80" t="str">
        <f>IF(S1064="","",VLOOKUP(S1064,VALORACION!F:G,2,FALSE))</f>
        <v/>
      </c>
      <c r="U1064" s="11"/>
      <c r="V1064" s="80" t="str">
        <f>IF(U1064="","",VLOOKUP(U1064,ROLES!G:H,2,FALSE))</f>
        <v/>
      </c>
      <c r="W1064" s="6"/>
      <c r="X1064" s="6"/>
      <c r="Y1064" s="95" t="e">
        <f t="shared" si="33"/>
        <v>#VALUE!</v>
      </c>
      <c r="Z1064" s="6"/>
      <c r="AA1064" s="6"/>
    </row>
    <row r="1065" spans="1:27" ht="28.95" customHeight="1" x14ac:dyDescent="0.3">
      <c r="A1065" s="91"/>
      <c r="B1065" s="91"/>
      <c r="C1065" s="80"/>
      <c r="D1065" s="91"/>
      <c r="E1065" s="80"/>
      <c r="F1065" s="6"/>
      <c r="G1065" s="6"/>
      <c r="H1065" s="25"/>
      <c r="I1065" s="133"/>
      <c r="J1065" s="6"/>
      <c r="K1065" s="6"/>
      <c r="L1065" s="6"/>
      <c r="M1065" s="6"/>
      <c r="N1065" s="84"/>
      <c r="O1065" s="80" t="str">
        <f>IF(N1065="","",VLOOKUP(N1065,ROLES!B:C,2,FALSE))</f>
        <v/>
      </c>
      <c r="P1065" s="6"/>
      <c r="Q1065" s="6"/>
      <c r="R1065" s="16">
        <f t="shared" si="34"/>
        <v>0</v>
      </c>
      <c r="S1065" s="16"/>
      <c r="T1065" s="80" t="str">
        <f>IF(S1065="","",VLOOKUP(S1065,VALORACION!F:G,2,FALSE))</f>
        <v/>
      </c>
      <c r="U1065" s="11"/>
      <c r="V1065" s="80" t="str">
        <f>IF(U1065="","",VLOOKUP(U1065,ROLES!G:H,2,FALSE))</f>
        <v/>
      </c>
      <c r="W1065" s="6"/>
      <c r="X1065" s="6"/>
      <c r="Y1065" s="95" t="e">
        <f t="shared" si="33"/>
        <v>#VALUE!</v>
      </c>
      <c r="Z1065" s="6"/>
      <c r="AA1065" s="6"/>
    </row>
    <row r="1066" spans="1:27" ht="28.95" customHeight="1" x14ac:dyDescent="0.3">
      <c r="A1066" s="91"/>
      <c r="B1066" s="91"/>
      <c r="C1066" s="80"/>
      <c r="D1066" s="91"/>
      <c r="E1066" s="80"/>
      <c r="F1066" s="6"/>
      <c r="G1066" s="6"/>
      <c r="H1066" s="25"/>
      <c r="I1066" s="133"/>
      <c r="J1066" s="6"/>
      <c r="K1066" s="6"/>
      <c r="L1066" s="6"/>
      <c r="M1066" s="6"/>
      <c r="N1066" s="84"/>
      <c r="O1066" s="80" t="str">
        <f>IF(N1066="","",VLOOKUP(N1066,ROLES!B:C,2,FALSE))</f>
        <v/>
      </c>
      <c r="P1066" s="6"/>
      <c r="Q1066" s="6"/>
      <c r="R1066" s="16">
        <f t="shared" si="34"/>
        <v>0</v>
      </c>
      <c r="S1066" s="16"/>
      <c r="T1066" s="80" t="str">
        <f>IF(S1066="","",VLOOKUP(S1066,VALORACION!F:G,2,FALSE))</f>
        <v/>
      </c>
      <c r="U1066" s="11"/>
      <c r="V1066" s="80" t="str">
        <f>IF(U1066="","",VLOOKUP(U1066,ROLES!G:H,2,FALSE))</f>
        <v/>
      </c>
      <c r="W1066" s="6"/>
      <c r="X1066" s="6"/>
      <c r="Y1066" s="95" t="e">
        <f t="shared" si="33"/>
        <v>#VALUE!</v>
      </c>
      <c r="Z1066" s="6"/>
      <c r="AA1066" s="6"/>
    </row>
    <row r="1067" spans="1:27" ht="28.95" customHeight="1" x14ac:dyDescent="0.3">
      <c r="A1067" s="91"/>
      <c r="B1067" s="91"/>
      <c r="C1067" s="80"/>
      <c r="D1067" s="91"/>
      <c r="E1067" s="80"/>
      <c r="F1067" s="6"/>
      <c r="G1067" s="6"/>
      <c r="H1067" s="25"/>
      <c r="I1067" s="133"/>
      <c r="J1067" s="6"/>
      <c r="K1067" s="6"/>
      <c r="L1067" s="6"/>
      <c r="M1067" s="6"/>
      <c r="N1067" s="84"/>
      <c r="O1067" s="80" t="str">
        <f>IF(N1067="","",VLOOKUP(N1067,ROLES!B:C,2,FALSE))</f>
        <v/>
      </c>
      <c r="P1067" s="6"/>
      <c r="Q1067" s="6"/>
      <c r="R1067" s="16">
        <f t="shared" si="34"/>
        <v>0</v>
      </c>
      <c r="S1067" s="16"/>
      <c r="T1067" s="80" t="str">
        <f>IF(S1067="","",VLOOKUP(S1067,VALORACION!F:G,2,FALSE))</f>
        <v/>
      </c>
      <c r="U1067" s="11"/>
      <c r="V1067" s="80" t="str">
        <f>IF(U1067="","",VLOOKUP(U1067,ROLES!G:H,2,FALSE))</f>
        <v/>
      </c>
      <c r="W1067" s="6"/>
      <c r="X1067" s="6"/>
      <c r="Y1067" s="95" t="e">
        <f t="shared" si="33"/>
        <v>#VALUE!</v>
      </c>
      <c r="Z1067" s="6"/>
      <c r="AA1067" s="6"/>
    </row>
    <row r="1068" spans="1:27" ht="28.95" customHeight="1" x14ac:dyDescent="0.3">
      <c r="A1068" s="91"/>
      <c r="B1068" s="91"/>
      <c r="C1068" s="80"/>
      <c r="D1068" s="91"/>
      <c r="E1068" s="80"/>
      <c r="F1068" s="6"/>
      <c r="G1068" s="6"/>
      <c r="H1068" s="25"/>
      <c r="I1068" s="133"/>
      <c r="J1068" s="6"/>
      <c r="K1068" s="6"/>
      <c r="L1068" s="6"/>
      <c r="M1068" s="6"/>
      <c r="N1068" s="84"/>
      <c r="O1068" s="80" t="str">
        <f>IF(N1068="","",VLOOKUP(N1068,ROLES!B:C,2,FALSE))</f>
        <v/>
      </c>
      <c r="P1068" s="6"/>
      <c r="Q1068" s="6"/>
      <c r="R1068" s="16">
        <f t="shared" si="34"/>
        <v>0</v>
      </c>
      <c r="S1068" s="16"/>
      <c r="T1068" s="80" t="str">
        <f>IF(S1068="","",VLOOKUP(S1068,VALORACION!F:G,2,FALSE))</f>
        <v/>
      </c>
      <c r="U1068" s="11"/>
      <c r="V1068" s="80" t="str">
        <f>IF(U1068="","",VLOOKUP(U1068,ROLES!G:H,2,FALSE))</f>
        <v/>
      </c>
      <c r="W1068" s="6"/>
      <c r="X1068" s="6"/>
      <c r="Y1068" s="95" t="e">
        <f t="shared" si="33"/>
        <v>#VALUE!</v>
      </c>
      <c r="Z1068" s="6"/>
      <c r="AA1068" s="6"/>
    </row>
    <row r="1069" spans="1:27" ht="28.95" customHeight="1" x14ac:dyDescent="0.3">
      <c r="A1069" s="91"/>
      <c r="B1069" s="91"/>
      <c r="C1069" s="80"/>
      <c r="D1069" s="91"/>
      <c r="E1069" s="80"/>
      <c r="F1069" s="6"/>
      <c r="G1069" s="6"/>
      <c r="H1069" s="25"/>
      <c r="I1069" s="133"/>
      <c r="J1069" s="6"/>
      <c r="K1069" s="6"/>
      <c r="L1069" s="6"/>
      <c r="M1069" s="6"/>
      <c r="N1069" s="84"/>
      <c r="O1069" s="80" t="str">
        <f>IF(N1069="","",VLOOKUP(N1069,ROLES!B:C,2,FALSE))</f>
        <v/>
      </c>
      <c r="P1069" s="6"/>
      <c r="Q1069" s="6"/>
      <c r="R1069" s="16">
        <f t="shared" si="34"/>
        <v>0</v>
      </c>
      <c r="S1069" s="16"/>
      <c r="T1069" s="80" t="str">
        <f>IF(S1069="","",VLOOKUP(S1069,VALORACION!F:G,2,FALSE))</f>
        <v/>
      </c>
      <c r="U1069" s="11"/>
      <c r="V1069" s="80" t="str">
        <f>IF(U1069="","",VLOOKUP(U1069,ROLES!G:H,2,FALSE))</f>
        <v/>
      </c>
      <c r="W1069" s="6"/>
      <c r="X1069" s="6"/>
      <c r="Y1069" s="95" t="e">
        <f t="shared" si="33"/>
        <v>#VALUE!</v>
      </c>
      <c r="Z1069" s="6"/>
      <c r="AA1069" s="6"/>
    </row>
    <row r="1070" spans="1:27" ht="28.95" customHeight="1" x14ac:dyDescent="0.3">
      <c r="A1070" s="91"/>
      <c r="B1070" s="91"/>
      <c r="C1070" s="80"/>
      <c r="D1070" s="91"/>
      <c r="E1070" s="80"/>
      <c r="F1070" s="6"/>
      <c r="G1070" s="6"/>
      <c r="H1070" s="25"/>
      <c r="I1070" s="133"/>
      <c r="J1070" s="6"/>
      <c r="K1070" s="6"/>
      <c r="L1070" s="6"/>
      <c r="M1070" s="6"/>
      <c r="N1070" s="84"/>
      <c r="O1070" s="80" t="str">
        <f>IF(N1070="","",VLOOKUP(N1070,ROLES!B:C,2,FALSE))</f>
        <v/>
      </c>
      <c r="P1070" s="6"/>
      <c r="Q1070" s="6"/>
      <c r="R1070" s="16">
        <f t="shared" si="34"/>
        <v>0</v>
      </c>
      <c r="S1070" s="16"/>
      <c r="T1070" s="80" t="str">
        <f>IF(S1070="","",VLOOKUP(S1070,VALORACION!F:G,2,FALSE))</f>
        <v/>
      </c>
      <c r="U1070" s="11"/>
      <c r="V1070" s="80" t="str">
        <f>IF(U1070="","",VLOOKUP(U1070,ROLES!G:H,2,FALSE))</f>
        <v/>
      </c>
      <c r="W1070" s="6"/>
      <c r="X1070" s="6"/>
      <c r="Y1070" s="95" t="e">
        <f t="shared" si="33"/>
        <v>#VALUE!</v>
      </c>
      <c r="Z1070" s="6"/>
      <c r="AA1070" s="6"/>
    </row>
    <row r="1071" spans="1:27" ht="28.95" customHeight="1" x14ac:dyDescent="0.3">
      <c r="A1071" s="91"/>
      <c r="B1071" s="91"/>
      <c r="C1071" s="80"/>
      <c r="D1071" s="91"/>
      <c r="E1071" s="80"/>
      <c r="F1071" s="6"/>
      <c r="G1071" s="6"/>
      <c r="H1071" s="25"/>
      <c r="I1071" s="133"/>
      <c r="J1071" s="6"/>
      <c r="K1071" s="6"/>
      <c r="L1071" s="6"/>
      <c r="M1071" s="6"/>
      <c r="N1071" s="84"/>
      <c r="O1071" s="80" t="str">
        <f>IF(N1071="","",VLOOKUP(N1071,ROLES!B:C,2,FALSE))</f>
        <v/>
      </c>
      <c r="P1071" s="6"/>
      <c r="Q1071" s="6"/>
      <c r="R1071" s="16">
        <f t="shared" si="34"/>
        <v>0</v>
      </c>
      <c r="S1071" s="16"/>
      <c r="T1071" s="80" t="str">
        <f>IF(S1071="","",VLOOKUP(S1071,VALORACION!F:G,2,FALSE))</f>
        <v/>
      </c>
      <c r="U1071" s="11"/>
      <c r="V1071" s="80" t="str">
        <f>IF(U1071="","",VLOOKUP(U1071,ROLES!G:H,2,FALSE))</f>
        <v/>
      </c>
      <c r="W1071" s="6"/>
      <c r="X1071" s="6"/>
      <c r="Y1071" s="95" t="e">
        <f t="shared" si="33"/>
        <v>#VALUE!</v>
      </c>
      <c r="Z1071" s="6"/>
      <c r="AA1071" s="6"/>
    </row>
    <row r="1072" spans="1:27" ht="28.95" customHeight="1" x14ac:dyDescent="0.3">
      <c r="A1072" s="91"/>
      <c r="B1072" s="91"/>
      <c r="C1072" s="80"/>
      <c r="D1072" s="91"/>
      <c r="E1072" s="80"/>
      <c r="F1072" s="6"/>
      <c r="G1072" s="6"/>
      <c r="H1072" s="25"/>
      <c r="I1072" s="133"/>
      <c r="J1072" s="6"/>
      <c r="K1072" s="6"/>
      <c r="L1072" s="6"/>
      <c r="M1072" s="6"/>
      <c r="N1072" s="84"/>
      <c r="O1072" s="80" t="str">
        <f>IF(N1072="","",VLOOKUP(N1072,ROLES!B:C,2,FALSE))</f>
        <v/>
      </c>
      <c r="P1072" s="6"/>
      <c r="Q1072" s="6"/>
      <c r="R1072" s="16">
        <f t="shared" si="34"/>
        <v>0</v>
      </c>
      <c r="S1072" s="16"/>
      <c r="T1072" s="80" t="str">
        <f>IF(S1072="","",VLOOKUP(S1072,VALORACION!F:G,2,FALSE))</f>
        <v/>
      </c>
      <c r="U1072" s="11"/>
      <c r="V1072" s="80" t="str">
        <f>IF(U1072="","",VLOOKUP(U1072,ROLES!G:H,2,FALSE))</f>
        <v/>
      </c>
      <c r="W1072" s="6"/>
      <c r="X1072" s="6"/>
      <c r="Y1072" s="95" t="e">
        <f t="shared" si="33"/>
        <v>#VALUE!</v>
      </c>
      <c r="Z1072" s="6"/>
      <c r="AA1072" s="6"/>
    </row>
    <row r="1073" spans="1:27" ht="28.95" customHeight="1" x14ac:dyDescent="0.3">
      <c r="A1073" s="91"/>
      <c r="B1073" s="91"/>
      <c r="C1073" s="80"/>
      <c r="D1073" s="91"/>
      <c r="E1073" s="80"/>
      <c r="F1073" s="6"/>
      <c r="G1073" s="6"/>
      <c r="H1073" s="25"/>
      <c r="I1073" s="133"/>
      <c r="J1073" s="6"/>
      <c r="K1073" s="6"/>
      <c r="L1073" s="6"/>
      <c r="M1073" s="6"/>
      <c r="N1073" s="84"/>
      <c r="O1073" s="80" t="str">
        <f>IF(N1073="","",VLOOKUP(N1073,ROLES!B:C,2,FALSE))</f>
        <v/>
      </c>
      <c r="P1073" s="6"/>
      <c r="Q1073" s="6"/>
      <c r="R1073" s="16">
        <f t="shared" si="34"/>
        <v>0</v>
      </c>
      <c r="S1073" s="16"/>
      <c r="T1073" s="80" t="str">
        <f>IF(S1073="","",VLOOKUP(S1073,VALORACION!F:G,2,FALSE))</f>
        <v/>
      </c>
      <c r="U1073" s="11"/>
      <c r="V1073" s="80" t="str">
        <f>IF(U1073="","",VLOOKUP(U1073,ROLES!G:H,2,FALSE))</f>
        <v/>
      </c>
      <c r="W1073" s="6"/>
      <c r="X1073" s="6"/>
      <c r="Y1073" s="95" t="e">
        <f t="shared" si="33"/>
        <v>#VALUE!</v>
      </c>
      <c r="Z1073" s="6"/>
      <c r="AA1073" s="6"/>
    </row>
    <row r="1074" spans="1:27" ht="28.95" customHeight="1" x14ac:dyDescent="0.3">
      <c r="A1074" s="91"/>
      <c r="B1074" s="91"/>
      <c r="C1074" s="80"/>
      <c r="D1074" s="91"/>
      <c r="E1074" s="80"/>
      <c r="F1074" s="6"/>
      <c r="G1074" s="6"/>
      <c r="H1074" s="25"/>
      <c r="I1074" s="133"/>
      <c r="J1074" s="6"/>
      <c r="K1074" s="6"/>
      <c r="L1074" s="6"/>
      <c r="M1074" s="6"/>
      <c r="N1074" s="84"/>
      <c r="O1074" s="80" t="str">
        <f>IF(N1074="","",VLOOKUP(N1074,ROLES!B:C,2,FALSE))</f>
        <v/>
      </c>
      <c r="P1074" s="6"/>
      <c r="Q1074" s="6"/>
      <c r="R1074" s="16">
        <f t="shared" si="34"/>
        <v>0</v>
      </c>
      <c r="S1074" s="16"/>
      <c r="T1074" s="80" t="str">
        <f>IF(S1074="","",VLOOKUP(S1074,VALORACION!F:G,2,FALSE))</f>
        <v/>
      </c>
      <c r="U1074" s="11"/>
      <c r="V1074" s="80" t="str">
        <f>IF(U1074="","",VLOOKUP(U1074,ROLES!G:H,2,FALSE))</f>
        <v/>
      </c>
      <c r="W1074" s="6"/>
      <c r="X1074" s="6"/>
      <c r="Y1074" s="95" t="e">
        <f t="shared" si="33"/>
        <v>#VALUE!</v>
      </c>
      <c r="Z1074" s="6"/>
      <c r="AA1074" s="6"/>
    </row>
    <row r="1075" spans="1:27" ht="28.95" customHeight="1" x14ac:dyDescent="0.3">
      <c r="A1075" s="91"/>
      <c r="B1075" s="91"/>
      <c r="C1075" s="80"/>
      <c r="D1075" s="91"/>
      <c r="E1075" s="80"/>
      <c r="F1075" s="6"/>
      <c r="G1075" s="6"/>
      <c r="H1075" s="25"/>
      <c r="I1075" s="133"/>
      <c r="J1075" s="6"/>
      <c r="K1075" s="6"/>
      <c r="L1075" s="6"/>
      <c r="M1075" s="6"/>
      <c r="N1075" s="84"/>
      <c r="O1075" s="80" t="str">
        <f>IF(N1075="","",VLOOKUP(N1075,ROLES!B:C,2,FALSE))</f>
        <v/>
      </c>
      <c r="P1075" s="6"/>
      <c r="Q1075" s="6"/>
      <c r="R1075" s="16">
        <f t="shared" si="34"/>
        <v>0</v>
      </c>
      <c r="S1075" s="16"/>
      <c r="T1075" s="80" t="str">
        <f>IF(S1075="","",VLOOKUP(S1075,VALORACION!F:G,2,FALSE))</f>
        <v/>
      </c>
      <c r="U1075" s="11"/>
      <c r="V1075" s="80" t="str">
        <f>IF(U1075="","",VLOOKUP(U1075,ROLES!G:H,2,FALSE))</f>
        <v/>
      </c>
      <c r="W1075" s="6"/>
      <c r="X1075" s="6"/>
      <c r="Y1075" s="95" t="e">
        <f t="shared" si="33"/>
        <v>#VALUE!</v>
      </c>
      <c r="Z1075" s="6"/>
      <c r="AA1075" s="6"/>
    </row>
    <row r="1076" spans="1:27" ht="28.95" customHeight="1" x14ac:dyDescent="0.3">
      <c r="A1076" s="91"/>
      <c r="B1076" s="91"/>
      <c r="C1076" s="80"/>
      <c r="D1076" s="91"/>
      <c r="E1076" s="80"/>
      <c r="F1076" s="6"/>
      <c r="G1076" s="6"/>
      <c r="H1076" s="25"/>
      <c r="I1076" s="133"/>
      <c r="J1076" s="6"/>
      <c r="K1076" s="6"/>
      <c r="L1076" s="6"/>
      <c r="M1076" s="6"/>
      <c r="N1076" s="84"/>
      <c r="O1076" s="80" t="str">
        <f>IF(N1076="","",VLOOKUP(N1076,ROLES!B:C,2,FALSE))</f>
        <v/>
      </c>
      <c r="P1076" s="6"/>
      <c r="Q1076" s="6"/>
      <c r="R1076" s="16">
        <f t="shared" si="34"/>
        <v>0</v>
      </c>
      <c r="S1076" s="16"/>
      <c r="T1076" s="80" t="str">
        <f>IF(S1076="","",VLOOKUP(S1076,VALORACION!F:G,2,FALSE))</f>
        <v/>
      </c>
      <c r="U1076" s="11"/>
      <c r="V1076" s="80" t="str">
        <f>IF(U1076="","",VLOOKUP(U1076,ROLES!G:H,2,FALSE))</f>
        <v/>
      </c>
      <c r="W1076" s="6"/>
      <c r="X1076" s="6"/>
      <c r="Y1076" s="95" t="e">
        <f t="shared" si="33"/>
        <v>#VALUE!</v>
      </c>
      <c r="Z1076" s="6"/>
      <c r="AA1076" s="6"/>
    </row>
    <row r="1077" spans="1:27" ht="28.95" customHeight="1" x14ac:dyDescent="0.3">
      <c r="A1077" s="91"/>
      <c r="B1077" s="91"/>
      <c r="C1077" s="80"/>
      <c r="D1077" s="91"/>
      <c r="E1077" s="80"/>
      <c r="F1077" s="6"/>
      <c r="G1077" s="6"/>
      <c r="H1077" s="25"/>
      <c r="I1077" s="133"/>
      <c r="J1077" s="6"/>
      <c r="K1077" s="6"/>
      <c r="L1077" s="6"/>
      <c r="M1077" s="6"/>
      <c r="N1077" s="84"/>
      <c r="O1077" s="80" t="str">
        <f>IF(N1077="","",VLOOKUP(N1077,ROLES!B:C,2,FALSE))</f>
        <v/>
      </c>
      <c r="P1077" s="6"/>
      <c r="Q1077" s="6"/>
      <c r="R1077" s="16">
        <f t="shared" si="34"/>
        <v>0</v>
      </c>
      <c r="S1077" s="16"/>
      <c r="T1077" s="80" t="str">
        <f>IF(S1077="","",VLOOKUP(S1077,VALORACION!F:G,2,FALSE))</f>
        <v/>
      </c>
      <c r="U1077" s="11"/>
      <c r="V1077" s="80" t="str">
        <f>IF(U1077="","",VLOOKUP(U1077,ROLES!G:H,2,FALSE))</f>
        <v/>
      </c>
      <c r="W1077" s="6"/>
      <c r="X1077" s="6"/>
      <c r="Y1077" s="95" t="e">
        <f t="shared" si="33"/>
        <v>#VALUE!</v>
      </c>
      <c r="Z1077" s="6"/>
      <c r="AA1077" s="6"/>
    </row>
    <row r="1078" spans="1:27" ht="28.95" customHeight="1" x14ac:dyDescent="0.3">
      <c r="A1078" s="91"/>
      <c r="B1078" s="91"/>
      <c r="C1078" s="80"/>
      <c r="D1078" s="91"/>
      <c r="E1078" s="80"/>
      <c r="F1078" s="6"/>
      <c r="G1078" s="6"/>
      <c r="H1078" s="25"/>
      <c r="I1078" s="133"/>
      <c r="J1078" s="6"/>
      <c r="K1078" s="6"/>
      <c r="L1078" s="6"/>
      <c r="M1078" s="6"/>
      <c r="N1078" s="84"/>
      <c r="O1078" s="80" t="str">
        <f>IF(N1078="","",VLOOKUP(N1078,ROLES!B:C,2,FALSE))</f>
        <v/>
      </c>
      <c r="P1078" s="6"/>
      <c r="Q1078" s="6"/>
      <c r="R1078" s="16">
        <f t="shared" si="34"/>
        <v>0</v>
      </c>
      <c r="S1078" s="16"/>
      <c r="T1078" s="80" t="str">
        <f>IF(S1078="","",VLOOKUP(S1078,VALORACION!F:G,2,FALSE))</f>
        <v/>
      </c>
      <c r="U1078" s="11"/>
      <c r="V1078" s="80" t="str">
        <f>IF(U1078="","",VLOOKUP(U1078,ROLES!G:H,2,FALSE))</f>
        <v/>
      </c>
      <c r="W1078" s="6"/>
      <c r="X1078" s="6"/>
      <c r="Y1078" s="95" t="e">
        <f t="shared" si="33"/>
        <v>#VALUE!</v>
      </c>
      <c r="Z1078" s="6"/>
      <c r="AA1078" s="6"/>
    </row>
    <row r="1079" spans="1:27" ht="28.95" customHeight="1" x14ac:dyDescent="0.3">
      <c r="A1079" s="91"/>
      <c r="B1079" s="91"/>
      <c r="C1079" s="80"/>
      <c r="D1079" s="91"/>
      <c r="E1079" s="80"/>
      <c r="F1079" s="6"/>
      <c r="G1079" s="6"/>
      <c r="H1079" s="25"/>
      <c r="I1079" s="133"/>
      <c r="J1079" s="6"/>
      <c r="K1079" s="6"/>
      <c r="L1079" s="6"/>
      <c r="M1079" s="6"/>
      <c r="N1079" s="84"/>
      <c r="O1079" s="80" t="str">
        <f>IF(N1079="","",VLOOKUP(N1079,ROLES!B:C,2,FALSE))</f>
        <v/>
      </c>
      <c r="P1079" s="6"/>
      <c r="Q1079" s="6"/>
      <c r="R1079" s="16">
        <f t="shared" si="34"/>
        <v>0</v>
      </c>
      <c r="S1079" s="16"/>
      <c r="T1079" s="80" t="str">
        <f>IF(S1079="","",VLOOKUP(S1079,VALORACION!F:G,2,FALSE))</f>
        <v/>
      </c>
      <c r="U1079" s="11"/>
      <c r="V1079" s="80" t="str">
        <f>IF(U1079="","",VLOOKUP(U1079,ROLES!G:H,2,FALSE))</f>
        <v/>
      </c>
      <c r="W1079" s="6"/>
      <c r="X1079" s="6"/>
      <c r="Y1079" s="95" t="e">
        <f t="shared" si="33"/>
        <v>#VALUE!</v>
      </c>
      <c r="Z1079" s="6"/>
      <c r="AA1079" s="6"/>
    </row>
    <row r="1080" spans="1:27" ht="28.95" customHeight="1" x14ac:dyDescent="0.3">
      <c r="A1080" s="91"/>
      <c r="B1080" s="91"/>
      <c r="C1080" s="80"/>
      <c r="D1080" s="91"/>
      <c r="E1080" s="80"/>
      <c r="F1080" s="6"/>
      <c r="G1080" s="6"/>
      <c r="H1080" s="25"/>
      <c r="I1080" s="133"/>
      <c r="J1080" s="6"/>
      <c r="K1080" s="6"/>
      <c r="L1080" s="6"/>
      <c r="M1080" s="6"/>
      <c r="N1080" s="84"/>
      <c r="O1080" s="80" t="str">
        <f>IF(N1080="","",VLOOKUP(N1080,ROLES!B:C,2,FALSE))</f>
        <v/>
      </c>
      <c r="P1080" s="6"/>
      <c r="Q1080" s="6"/>
      <c r="R1080" s="16">
        <f t="shared" si="34"/>
        <v>0</v>
      </c>
      <c r="S1080" s="16"/>
      <c r="T1080" s="80" t="str">
        <f>IF(S1080="","",VLOOKUP(S1080,VALORACION!F:G,2,FALSE))</f>
        <v/>
      </c>
      <c r="U1080" s="11"/>
      <c r="V1080" s="80" t="str">
        <f>IF(U1080="","",VLOOKUP(U1080,ROLES!G:H,2,FALSE))</f>
        <v/>
      </c>
      <c r="W1080" s="6"/>
      <c r="X1080" s="6"/>
      <c r="Y1080" s="95" t="e">
        <f t="shared" si="33"/>
        <v>#VALUE!</v>
      </c>
      <c r="Z1080" s="6"/>
      <c r="AA1080" s="6"/>
    </row>
    <row r="1081" spans="1:27" ht="28.95" customHeight="1" x14ac:dyDescent="0.3">
      <c r="A1081" s="91"/>
      <c r="B1081" s="91"/>
      <c r="C1081" s="80"/>
      <c r="D1081" s="91"/>
      <c r="E1081" s="80"/>
      <c r="F1081" s="6"/>
      <c r="G1081" s="6"/>
      <c r="H1081" s="25"/>
      <c r="I1081" s="133"/>
      <c r="J1081" s="6"/>
      <c r="K1081" s="6"/>
      <c r="L1081" s="6"/>
      <c r="M1081" s="6"/>
      <c r="N1081" s="84"/>
      <c r="O1081" s="80" t="str">
        <f>IF(N1081="","",VLOOKUP(N1081,ROLES!B:C,2,FALSE))</f>
        <v/>
      </c>
      <c r="P1081" s="6"/>
      <c r="Q1081" s="6"/>
      <c r="R1081" s="16">
        <f t="shared" si="34"/>
        <v>0</v>
      </c>
      <c r="S1081" s="16"/>
      <c r="T1081" s="80" t="str">
        <f>IF(S1081="","",VLOOKUP(S1081,VALORACION!F:G,2,FALSE))</f>
        <v/>
      </c>
      <c r="U1081" s="11"/>
      <c r="V1081" s="80" t="str">
        <f>IF(U1081="","",VLOOKUP(U1081,ROLES!G:H,2,FALSE))</f>
        <v/>
      </c>
      <c r="W1081" s="6"/>
      <c r="X1081" s="6"/>
      <c r="Y1081" s="95" t="e">
        <f t="shared" si="33"/>
        <v>#VALUE!</v>
      </c>
      <c r="Z1081" s="6"/>
      <c r="AA1081" s="6"/>
    </row>
    <row r="1082" spans="1:27" ht="28.95" customHeight="1" x14ac:dyDescent="0.3">
      <c r="A1082" s="91"/>
      <c r="B1082" s="91"/>
      <c r="C1082" s="80"/>
      <c r="D1082" s="91"/>
      <c r="E1082" s="80"/>
      <c r="F1082" s="6"/>
      <c r="G1082" s="6"/>
      <c r="H1082" s="25"/>
      <c r="I1082" s="133"/>
      <c r="J1082" s="6"/>
      <c r="K1082" s="6"/>
      <c r="L1082" s="6"/>
      <c r="M1082" s="6"/>
      <c r="N1082" s="84"/>
      <c r="O1082" s="80" t="str">
        <f>IF(N1082="","",VLOOKUP(N1082,ROLES!B:C,2,FALSE))</f>
        <v/>
      </c>
      <c r="P1082" s="6"/>
      <c r="Q1082" s="6"/>
      <c r="R1082" s="16">
        <f t="shared" si="34"/>
        <v>0</v>
      </c>
      <c r="S1082" s="16"/>
      <c r="T1082" s="80" t="str">
        <f>IF(S1082="","",VLOOKUP(S1082,VALORACION!F:G,2,FALSE))</f>
        <v/>
      </c>
      <c r="U1082" s="11"/>
      <c r="V1082" s="80" t="str">
        <f>IF(U1082="","",VLOOKUP(U1082,ROLES!G:H,2,FALSE))</f>
        <v/>
      </c>
      <c r="W1082" s="6"/>
      <c r="X1082" s="6"/>
      <c r="Y1082" s="95" t="e">
        <f t="shared" si="33"/>
        <v>#VALUE!</v>
      </c>
      <c r="Z1082" s="6"/>
      <c r="AA1082" s="6"/>
    </row>
    <row r="1083" spans="1:27" ht="28.95" customHeight="1" x14ac:dyDescent="0.3">
      <c r="A1083" s="91"/>
      <c r="B1083" s="91"/>
      <c r="C1083" s="80"/>
      <c r="D1083" s="91"/>
      <c r="E1083" s="80"/>
      <c r="F1083" s="6"/>
      <c r="G1083" s="6"/>
      <c r="H1083" s="25"/>
      <c r="I1083" s="133"/>
      <c r="J1083" s="6"/>
      <c r="K1083" s="6"/>
      <c r="L1083" s="6"/>
      <c r="M1083" s="6"/>
      <c r="N1083" s="84"/>
      <c r="O1083" s="80" t="str">
        <f>IF(N1083="","",VLOOKUP(N1083,ROLES!B:C,2,FALSE))</f>
        <v/>
      </c>
      <c r="P1083" s="6"/>
      <c r="Q1083" s="6"/>
      <c r="R1083" s="16">
        <f t="shared" si="34"/>
        <v>0</v>
      </c>
      <c r="S1083" s="16"/>
      <c r="T1083" s="80" t="str">
        <f>IF(S1083="","",VLOOKUP(S1083,VALORACION!F:G,2,FALSE))</f>
        <v/>
      </c>
      <c r="U1083" s="11"/>
      <c r="V1083" s="80" t="str">
        <f>IF(U1083="","",VLOOKUP(U1083,ROLES!G:H,2,FALSE))</f>
        <v/>
      </c>
      <c r="W1083" s="6"/>
      <c r="X1083" s="6"/>
      <c r="Y1083" s="95" t="e">
        <f t="shared" si="33"/>
        <v>#VALUE!</v>
      </c>
      <c r="Z1083" s="6"/>
      <c r="AA1083" s="6"/>
    </row>
    <row r="1084" spans="1:27" ht="28.95" customHeight="1" x14ac:dyDescent="0.3">
      <c r="A1084" s="91"/>
      <c r="B1084" s="91"/>
      <c r="C1084" s="80"/>
      <c r="D1084" s="91"/>
      <c r="E1084" s="80"/>
      <c r="F1084" s="6"/>
      <c r="G1084" s="6"/>
      <c r="H1084" s="25"/>
      <c r="I1084" s="133"/>
      <c r="J1084" s="6"/>
      <c r="K1084" s="6"/>
      <c r="L1084" s="6"/>
      <c r="M1084" s="6"/>
      <c r="N1084" s="84"/>
      <c r="O1084" s="80" t="str">
        <f>IF(N1084="","",VLOOKUP(N1084,ROLES!B:C,2,FALSE))</f>
        <v/>
      </c>
      <c r="P1084" s="6"/>
      <c r="Q1084" s="6"/>
      <c r="R1084" s="16">
        <f t="shared" si="34"/>
        <v>0</v>
      </c>
      <c r="S1084" s="16"/>
      <c r="T1084" s="80" t="str">
        <f>IF(S1084="","",VLOOKUP(S1084,VALORACION!F:G,2,FALSE))</f>
        <v/>
      </c>
      <c r="U1084" s="11"/>
      <c r="V1084" s="80" t="str">
        <f>IF(U1084="","",VLOOKUP(U1084,ROLES!G:H,2,FALSE))</f>
        <v/>
      </c>
      <c r="W1084" s="6"/>
      <c r="X1084" s="6"/>
      <c r="Y1084" s="95" t="e">
        <f t="shared" si="33"/>
        <v>#VALUE!</v>
      </c>
      <c r="Z1084" s="6"/>
      <c r="AA1084" s="6"/>
    </row>
    <row r="1085" spans="1:27" ht="28.95" customHeight="1" x14ac:dyDescent="0.3">
      <c r="A1085" s="91"/>
      <c r="B1085" s="91"/>
      <c r="C1085" s="80"/>
      <c r="D1085" s="91"/>
      <c r="E1085" s="80"/>
      <c r="F1085" s="6"/>
      <c r="G1085" s="6"/>
      <c r="H1085" s="25"/>
      <c r="I1085" s="133"/>
      <c r="J1085" s="6"/>
      <c r="K1085" s="6"/>
      <c r="L1085" s="6"/>
      <c r="M1085" s="6"/>
      <c r="N1085" s="84"/>
      <c r="O1085" s="80" t="str">
        <f>IF(N1085="","",VLOOKUP(N1085,ROLES!B:C,2,FALSE))</f>
        <v/>
      </c>
      <c r="P1085" s="6"/>
      <c r="Q1085" s="6"/>
      <c r="R1085" s="16">
        <f t="shared" si="34"/>
        <v>0</v>
      </c>
      <c r="S1085" s="16"/>
      <c r="T1085" s="80" t="str">
        <f>IF(S1085="","",VLOOKUP(S1085,VALORACION!F:G,2,FALSE))</f>
        <v/>
      </c>
      <c r="U1085" s="11"/>
      <c r="V1085" s="80" t="str">
        <f>IF(U1085="","",VLOOKUP(U1085,ROLES!G:H,2,FALSE))</f>
        <v/>
      </c>
      <c r="W1085" s="6"/>
      <c r="X1085" s="6"/>
      <c r="Y1085" s="95" t="e">
        <f t="shared" si="33"/>
        <v>#VALUE!</v>
      </c>
      <c r="Z1085" s="6"/>
      <c r="AA1085" s="6"/>
    </row>
    <row r="1086" spans="1:27" ht="28.95" customHeight="1" x14ac:dyDescent="0.3">
      <c r="A1086" s="91"/>
      <c r="B1086" s="91"/>
      <c r="C1086" s="80"/>
      <c r="D1086" s="91"/>
      <c r="E1086" s="80"/>
      <c r="F1086" s="6"/>
      <c r="G1086" s="6"/>
      <c r="H1086" s="25"/>
      <c r="I1086" s="133"/>
      <c r="J1086" s="6"/>
      <c r="K1086" s="6"/>
      <c r="L1086" s="6"/>
      <c r="M1086" s="6"/>
      <c r="N1086" s="84"/>
      <c r="O1086" s="80" t="str">
        <f>IF(N1086="","",VLOOKUP(N1086,ROLES!B:C,2,FALSE))</f>
        <v/>
      </c>
      <c r="P1086" s="6"/>
      <c r="Q1086" s="6"/>
      <c r="R1086" s="16">
        <f t="shared" si="34"/>
        <v>0</v>
      </c>
      <c r="S1086" s="16"/>
      <c r="T1086" s="80" t="str">
        <f>IF(S1086="","",VLOOKUP(S1086,VALORACION!F:G,2,FALSE))</f>
        <v/>
      </c>
      <c r="U1086" s="11"/>
      <c r="V1086" s="80" t="str">
        <f>IF(U1086="","",VLOOKUP(U1086,ROLES!G:H,2,FALSE))</f>
        <v/>
      </c>
      <c r="W1086" s="6"/>
      <c r="X1086" s="6"/>
      <c r="Y1086" s="95" t="e">
        <f t="shared" si="33"/>
        <v>#VALUE!</v>
      </c>
      <c r="Z1086" s="6"/>
      <c r="AA1086" s="6"/>
    </row>
    <row r="1087" spans="1:27" ht="28.95" customHeight="1" x14ac:dyDescent="0.3">
      <c r="A1087" s="91"/>
      <c r="B1087" s="91"/>
      <c r="C1087" s="80"/>
      <c r="D1087" s="91"/>
      <c r="E1087" s="80"/>
      <c r="F1087" s="6"/>
      <c r="G1087" s="6"/>
      <c r="H1087" s="25"/>
      <c r="I1087" s="133"/>
      <c r="J1087" s="6"/>
      <c r="K1087" s="6"/>
      <c r="L1087" s="6"/>
      <c r="M1087" s="6"/>
      <c r="N1087" s="84"/>
      <c r="O1087" s="80" t="str">
        <f>IF(N1087="","",VLOOKUP(N1087,ROLES!B:C,2,FALSE))</f>
        <v/>
      </c>
      <c r="P1087" s="6"/>
      <c r="Q1087" s="6"/>
      <c r="R1087" s="16">
        <f t="shared" si="34"/>
        <v>0</v>
      </c>
      <c r="S1087" s="16"/>
      <c r="T1087" s="80" t="str">
        <f>IF(S1087="","",VLOOKUP(S1087,VALORACION!F:G,2,FALSE))</f>
        <v/>
      </c>
      <c r="U1087" s="11"/>
      <c r="V1087" s="80" t="str">
        <f>IF(U1087="","",VLOOKUP(U1087,ROLES!G:H,2,FALSE))</f>
        <v/>
      </c>
      <c r="W1087" s="6"/>
      <c r="X1087" s="6"/>
      <c r="Y1087" s="95" t="e">
        <f t="shared" si="33"/>
        <v>#VALUE!</v>
      </c>
      <c r="Z1087" s="6"/>
      <c r="AA1087" s="6"/>
    </row>
    <row r="1088" spans="1:27" ht="28.95" customHeight="1" x14ac:dyDescent="0.3">
      <c r="A1088" s="91"/>
      <c r="B1088" s="91"/>
      <c r="C1088" s="80"/>
      <c r="D1088" s="91"/>
      <c r="E1088" s="80"/>
      <c r="F1088" s="6"/>
      <c r="G1088" s="6"/>
      <c r="H1088" s="25"/>
      <c r="I1088" s="133"/>
      <c r="J1088" s="6"/>
      <c r="K1088" s="6"/>
      <c r="L1088" s="6"/>
      <c r="M1088" s="6"/>
      <c r="N1088" s="84"/>
      <c r="O1088" s="80" t="str">
        <f>IF(N1088="","",VLOOKUP(N1088,ROLES!B:C,2,FALSE))</f>
        <v/>
      </c>
      <c r="P1088" s="6"/>
      <c r="Q1088" s="6"/>
      <c r="R1088" s="16">
        <f t="shared" si="34"/>
        <v>0</v>
      </c>
      <c r="S1088" s="16"/>
      <c r="T1088" s="80" t="str">
        <f>IF(S1088="","",VLOOKUP(S1088,VALORACION!F:G,2,FALSE))</f>
        <v/>
      </c>
      <c r="U1088" s="11"/>
      <c r="V1088" s="80" t="str">
        <f>IF(U1088="","",VLOOKUP(U1088,ROLES!G:H,2,FALSE))</f>
        <v/>
      </c>
      <c r="W1088" s="6"/>
      <c r="X1088" s="6"/>
      <c r="Y1088" s="95" t="e">
        <f t="shared" si="33"/>
        <v>#VALUE!</v>
      </c>
      <c r="Z1088" s="6"/>
      <c r="AA1088" s="6"/>
    </row>
    <row r="1089" spans="1:27" ht="28.95" customHeight="1" x14ac:dyDescent="0.3">
      <c r="A1089" s="91"/>
      <c r="B1089" s="91"/>
      <c r="C1089" s="80"/>
      <c r="D1089" s="91"/>
      <c r="E1089" s="80"/>
      <c r="F1089" s="6"/>
      <c r="G1089" s="6"/>
      <c r="H1089" s="25"/>
      <c r="I1089" s="133"/>
      <c r="J1089" s="6"/>
      <c r="K1089" s="6"/>
      <c r="L1089" s="6"/>
      <c r="M1089" s="6"/>
      <c r="N1089" s="84"/>
      <c r="O1089" s="80" t="str">
        <f>IF(N1089="","",VLOOKUP(N1089,ROLES!B:C,2,FALSE))</f>
        <v/>
      </c>
      <c r="P1089" s="6"/>
      <c r="Q1089" s="6"/>
      <c r="R1089" s="16">
        <f t="shared" si="34"/>
        <v>0</v>
      </c>
      <c r="S1089" s="16"/>
      <c r="T1089" s="80" t="str">
        <f>IF(S1089="","",VLOOKUP(S1089,VALORACION!F:G,2,FALSE))</f>
        <v/>
      </c>
      <c r="U1089" s="11"/>
      <c r="V1089" s="80" t="str">
        <f>IF(U1089="","",VLOOKUP(U1089,ROLES!G:H,2,FALSE))</f>
        <v/>
      </c>
      <c r="W1089" s="6"/>
      <c r="X1089" s="6"/>
      <c r="Y1089" s="95" t="e">
        <f t="shared" si="33"/>
        <v>#VALUE!</v>
      </c>
      <c r="Z1089" s="6"/>
      <c r="AA1089" s="6"/>
    </row>
    <row r="1090" spans="1:27" ht="28.95" customHeight="1" x14ac:dyDescent="0.3">
      <c r="A1090" s="91"/>
      <c r="B1090" s="91"/>
      <c r="C1090" s="80"/>
      <c r="D1090" s="91"/>
      <c r="E1090" s="80"/>
      <c r="F1090" s="6"/>
      <c r="G1090" s="6"/>
      <c r="H1090" s="25"/>
      <c r="I1090" s="133"/>
      <c r="J1090" s="6"/>
      <c r="K1090" s="6"/>
      <c r="L1090" s="6"/>
      <c r="M1090" s="6"/>
      <c r="N1090" s="84"/>
      <c r="O1090" s="80" t="str">
        <f>IF(N1090="","",VLOOKUP(N1090,ROLES!B:C,2,FALSE))</f>
        <v/>
      </c>
      <c r="P1090" s="6"/>
      <c r="Q1090" s="6"/>
      <c r="R1090" s="16">
        <f t="shared" si="34"/>
        <v>0</v>
      </c>
      <c r="S1090" s="16"/>
      <c r="T1090" s="80" t="str">
        <f>IF(S1090="","",VLOOKUP(S1090,VALORACION!F:G,2,FALSE))</f>
        <v/>
      </c>
      <c r="U1090" s="11"/>
      <c r="V1090" s="80" t="str">
        <f>IF(U1090="","",VLOOKUP(U1090,ROLES!G:H,2,FALSE))</f>
        <v/>
      </c>
      <c r="W1090" s="6"/>
      <c r="X1090" s="6"/>
      <c r="Y1090" s="95" t="e">
        <f t="shared" si="33"/>
        <v>#VALUE!</v>
      </c>
      <c r="Z1090" s="6"/>
      <c r="AA1090" s="6"/>
    </row>
    <row r="1091" spans="1:27" ht="28.95" customHeight="1" x14ac:dyDescent="0.3">
      <c r="A1091" s="91"/>
      <c r="B1091" s="91"/>
      <c r="C1091" s="80"/>
      <c r="D1091" s="91"/>
      <c r="E1091" s="80"/>
      <c r="F1091" s="6"/>
      <c r="G1091" s="6"/>
      <c r="H1091" s="25"/>
      <c r="I1091" s="133"/>
      <c r="J1091" s="6"/>
      <c r="K1091" s="6"/>
      <c r="L1091" s="6"/>
      <c r="M1091" s="6"/>
      <c r="N1091" s="84"/>
      <c r="O1091" s="80" t="str">
        <f>IF(N1091="","",VLOOKUP(N1091,ROLES!B:C,2,FALSE))</f>
        <v/>
      </c>
      <c r="P1091" s="6"/>
      <c r="Q1091" s="6"/>
      <c r="R1091" s="16">
        <f t="shared" si="34"/>
        <v>0</v>
      </c>
      <c r="S1091" s="16"/>
      <c r="T1091" s="80" t="str">
        <f>IF(S1091="","",VLOOKUP(S1091,VALORACION!F:G,2,FALSE))</f>
        <v/>
      </c>
      <c r="U1091" s="11"/>
      <c r="V1091" s="80" t="str">
        <f>IF(U1091="","",VLOOKUP(U1091,ROLES!G:H,2,FALSE))</f>
        <v/>
      </c>
      <c r="W1091" s="6"/>
      <c r="X1091" s="6"/>
      <c r="Y1091" s="95" t="e">
        <f t="shared" si="33"/>
        <v>#VALUE!</v>
      </c>
      <c r="Z1091" s="6"/>
      <c r="AA1091" s="6"/>
    </row>
    <row r="1092" spans="1:27" ht="28.95" customHeight="1" x14ac:dyDescent="0.3">
      <c r="A1092" s="91"/>
      <c r="B1092" s="91"/>
      <c r="C1092" s="80"/>
      <c r="D1092" s="91"/>
      <c r="E1092" s="80"/>
      <c r="F1092" s="6"/>
      <c r="G1092" s="6"/>
      <c r="H1092" s="25"/>
      <c r="I1092" s="133"/>
      <c r="J1092" s="6"/>
      <c r="K1092" s="6"/>
      <c r="L1092" s="6"/>
      <c r="M1092" s="6"/>
      <c r="N1092" s="84"/>
      <c r="O1092" s="80" t="str">
        <f>IF(N1092="","",VLOOKUP(N1092,ROLES!B:C,2,FALSE))</f>
        <v/>
      </c>
      <c r="P1092" s="6"/>
      <c r="Q1092" s="6"/>
      <c r="R1092" s="16">
        <f t="shared" si="34"/>
        <v>0</v>
      </c>
      <c r="S1092" s="16"/>
      <c r="T1092" s="80" t="str">
        <f>IF(S1092="","",VLOOKUP(S1092,VALORACION!F:G,2,FALSE))</f>
        <v/>
      </c>
      <c r="U1092" s="11"/>
      <c r="V1092" s="80" t="str">
        <f>IF(U1092="","",VLOOKUP(U1092,ROLES!G:H,2,FALSE))</f>
        <v/>
      </c>
      <c r="W1092" s="6"/>
      <c r="X1092" s="6"/>
      <c r="Y1092" s="95" t="e">
        <f t="shared" si="33"/>
        <v>#VALUE!</v>
      </c>
      <c r="Z1092" s="6"/>
      <c r="AA1092" s="6"/>
    </row>
    <row r="1093" spans="1:27" ht="28.95" customHeight="1" x14ac:dyDescent="0.3">
      <c r="A1093" s="91"/>
      <c r="B1093" s="91"/>
      <c r="C1093" s="80"/>
      <c r="D1093" s="91"/>
      <c r="E1093" s="80"/>
      <c r="F1093" s="6"/>
      <c r="G1093" s="6"/>
      <c r="H1093" s="25"/>
      <c r="I1093" s="133"/>
      <c r="J1093" s="6"/>
      <c r="K1093" s="6"/>
      <c r="L1093" s="6"/>
      <c r="M1093" s="6"/>
      <c r="N1093" s="84"/>
      <c r="O1093" s="80" t="str">
        <f>IF(N1093="","",VLOOKUP(N1093,ROLES!B:C,2,FALSE))</f>
        <v/>
      </c>
      <c r="P1093" s="6"/>
      <c r="Q1093" s="6"/>
      <c r="R1093" s="16">
        <f t="shared" si="34"/>
        <v>0</v>
      </c>
      <c r="S1093" s="16"/>
      <c r="T1093" s="80" t="str">
        <f>IF(S1093="","",VLOOKUP(S1093,VALORACION!F:G,2,FALSE))</f>
        <v/>
      </c>
      <c r="U1093" s="11"/>
      <c r="V1093" s="80" t="str">
        <f>IF(U1093="","",VLOOKUP(U1093,ROLES!G:H,2,FALSE))</f>
        <v/>
      </c>
      <c r="W1093" s="6"/>
      <c r="X1093" s="6"/>
      <c r="Y1093" s="95" t="e">
        <f t="shared" ref="Y1093:Y1102" si="35">(VALUE(O1093)+VALUE(V1093)+VALUE(X1093)+VALUE(T1093))/3</f>
        <v>#VALUE!</v>
      </c>
      <c r="Z1093" s="6"/>
      <c r="AA1093" s="6"/>
    </row>
    <row r="1094" spans="1:27" ht="28.95" customHeight="1" x14ac:dyDescent="0.3">
      <c r="A1094" s="91"/>
      <c r="B1094" s="91"/>
      <c r="C1094" s="80"/>
      <c r="D1094" s="91"/>
      <c r="E1094" s="80"/>
      <c r="F1094" s="6"/>
      <c r="G1094" s="6"/>
      <c r="H1094" s="25"/>
      <c r="I1094" s="133"/>
      <c r="J1094" s="6"/>
      <c r="K1094" s="6"/>
      <c r="L1094" s="6"/>
      <c r="M1094" s="6"/>
      <c r="N1094" s="84"/>
      <c r="O1094" s="80" t="str">
        <f>IF(N1094="","",VLOOKUP(N1094,ROLES!B:C,2,FALSE))</f>
        <v/>
      </c>
      <c r="P1094" s="6"/>
      <c r="Q1094" s="6"/>
      <c r="R1094" s="16">
        <f t="shared" si="34"/>
        <v>0</v>
      </c>
      <c r="S1094" s="16"/>
      <c r="T1094" s="80" t="str">
        <f>IF(S1094="","",VLOOKUP(S1094,VALORACION!F:G,2,FALSE))</f>
        <v/>
      </c>
      <c r="U1094" s="11"/>
      <c r="V1094" s="80" t="str">
        <f>IF(U1094="","",VLOOKUP(U1094,ROLES!G:H,2,FALSE))</f>
        <v/>
      </c>
      <c r="W1094" s="6"/>
      <c r="X1094" s="6"/>
      <c r="Y1094" s="95" t="e">
        <f t="shared" si="35"/>
        <v>#VALUE!</v>
      </c>
      <c r="Z1094" s="6"/>
      <c r="AA1094" s="6"/>
    </row>
    <row r="1095" spans="1:27" ht="28.95" customHeight="1" x14ac:dyDescent="0.3">
      <c r="A1095" s="91"/>
      <c r="B1095" s="91"/>
      <c r="C1095" s="80"/>
      <c r="D1095" s="91"/>
      <c r="E1095" s="80"/>
      <c r="F1095" s="6"/>
      <c r="G1095" s="6"/>
      <c r="H1095" s="25"/>
      <c r="I1095" s="133"/>
      <c r="J1095" s="6"/>
      <c r="K1095" s="6"/>
      <c r="L1095" s="6"/>
      <c r="M1095" s="6"/>
      <c r="N1095" s="84"/>
      <c r="O1095" s="80" t="str">
        <f>IF(N1095="","",VLOOKUP(N1095,ROLES!B:C,2,FALSE))</f>
        <v/>
      </c>
      <c r="P1095" s="6"/>
      <c r="Q1095" s="6"/>
      <c r="R1095" s="16">
        <f t="shared" ref="R1095:R1102" si="36">DATEDIF(P1095,Q1095,"m")</f>
        <v>0</v>
      </c>
      <c r="S1095" s="16"/>
      <c r="T1095" s="80" t="str">
        <f>IF(S1095="","",VLOOKUP(S1095,VALORACION!F:G,2,FALSE))</f>
        <v/>
      </c>
      <c r="U1095" s="11"/>
      <c r="V1095" s="80" t="str">
        <f>IF(U1095="","",VLOOKUP(U1095,ROLES!G:H,2,FALSE))</f>
        <v/>
      </c>
      <c r="W1095" s="6"/>
      <c r="X1095" s="6"/>
      <c r="Y1095" s="95" t="e">
        <f t="shared" si="35"/>
        <v>#VALUE!</v>
      </c>
      <c r="Z1095" s="6"/>
      <c r="AA1095" s="6"/>
    </row>
    <row r="1096" spans="1:27" ht="28.95" customHeight="1" x14ac:dyDescent="0.3">
      <c r="A1096" s="91"/>
      <c r="B1096" s="91"/>
      <c r="C1096" s="80"/>
      <c r="D1096" s="91"/>
      <c r="E1096" s="80"/>
      <c r="F1096" s="6"/>
      <c r="G1096" s="6"/>
      <c r="H1096" s="25"/>
      <c r="I1096" s="133"/>
      <c r="J1096" s="6"/>
      <c r="K1096" s="6"/>
      <c r="L1096" s="6"/>
      <c r="M1096" s="6"/>
      <c r="N1096" s="84"/>
      <c r="O1096" s="80" t="str">
        <f>IF(N1096="","",VLOOKUP(N1096,ROLES!B:C,2,FALSE))</f>
        <v/>
      </c>
      <c r="P1096" s="6"/>
      <c r="Q1096" s="6"/>
      <c r="R1096" s="16">
        <f t="shared" si="36"/>
        <v>0</v>
      </c>
      <c r="S1096" s="16"/>
      <c r="T1096" s="80" t="str">
        <f>IF(S1096="","",VLOOKUP(S1096,VALORACION!F:G,2,FALSE))</f>
        <v/>
      </c>
      <c r="U1096" s="11"/>
      <c r="V1096" s="80" t="str">
        <f>IF(U1096="","",VLOOKUP(U1096,ROLES!G:H,2,FALSE))</f>
        <v/>
      </c>
      <c r="W1096" s="6"/>
      <c r="X1096" s="6"/>
      <c r="Y1096" s="95" t="e">
        <f t="shared" si="35"/>
        <v>#VALUE!</v>
      </c>
      <c r="Z1096" s="6"/>
      <c r="AA1096" s="6"/>
    </row>
    <row r="1097" spans="1:27" ht="28.95" customHeight="1" x14ac:dyDescent="0.3">
      <c r="A1097" s="91"/>
      <c r="B1097" s="91"/>
      <c r="C1097" s="80"/>
      <c r="D1097" s="91"/>
      <c r="E1097" s="80"/>
      <c r="F1097" s="6"/>
      <c r="G1097" s="6"/>
      <c r="H1097" s="25"/>
      <c r="I1097" s="133"/>
      <c r="J1097" s="6"/>
      <c r="K1097" s="6"/>
      <c r="L1097" s="6"/>
      <c r="M1097" s="6"/>
      <c r="N1097" s="84"/>
      <c r="O1097" s="80" t="str">
        <f>IF(N1097="","",VLOOKUP(N1097,ROLES!B:C,2,FALSE))</f>
        <v/>
      </c>
      <c r="P1097" s="6"/>
      <c r="Q1097" s="6"/>
      <c r="R1097" s="16">
        <f t="shared" si="36"/>
        <v>0</v>
      </c>
      <c r="S1097" s="16"/>
      <c r="T1097" s="80" t="str">
        <f>IF(S1097="","",VLOOKUP(S1097,VALORACION!F:G,2,FALSE))</f>
        <v/>
      </c>
      <c r="U1097" s="11"/>
      <c r="V1097" s="80" t="str">
        <f>IF(U1097="","",VLOOKUP(U1097,ROLES!G:H,2,FALSE))</f>
        <v/>
      </c>
      <c r="W1097" s="6"/>
      <c r="X1097" s="6"/>
      <c r="Y1097" s="95" t="e">
        <f t="shared" si="35"/>
        <v>#VALUE!</v>
      </c>
      <c r="Z1097" s="6"/>
      <c r="AA1097" s="6"/>
    </row>
    <row r="1098" spans="1:27" ht="28.95" customHeight="1" x14ac:dyDescent="0.3">
      <c r="A1098" s="91"/>
      <c r="B1098" s="91"/>
      <c r="C1098" s="80"/>
      <c r="D1098" s="91"/>
      <c r="E1098" s="80"/>
      <c r="F1098" s="6"/>
      <c r="G1098" s="6"/>
      <c r="H1098" s="25"/>
      <c r="I1098" s="133"/>
      <c r="J1098" s="6"/>
      <c r="K1098" s="6"/>
      <c r="L1098" s="6"/>
      <c r="M1098" s="6"/>
      <c r="N1098" s="84"/>
      <c r="O1098" s="80" t="str">
        <f>IF(N1098="","",VLOOKUP(N1098,ROLES!B:C,2,FALSE))</f>
        <v/>
      </c>
      <c r="P1098" s="6"/>
      <c r="Q1098" s="6"/>
      <c r="R1098" s="16">
        <f t="shared" si="36"/>
        <v>0</v>
      </c>
      <c r="S1098" s="16"/>
      <c r="T1098" s="80" t="str">
        <f>IF(S1098="","",VLOOKUP(S1098,VALORACION!F:G,2,FALSE))</f>
        <v/>
      </c>
      <c r="U1098" s="11"/>
      <c r="V1098" s="80" t="str">
        <f>IF(U1098="","",VLOOKUP(U1098,ROLES!G:H,2,FALSE))</f>
        <v/>
      </c>
      <c r="W1098" s="6"/>
      <c r="X1098" s="6"/>
      <c r="Y1098" s="95" t="e">
        <f t="shared" si="35"/>
        <v>#VALUE!</v>
      </c>
      <c r="Z1098" s="6"/>
      <c r="AA1098" s="6"/>
    </row>
    <row r="1099" spans="1:27" ht="28.95" customHeight="1" x14ac:dyDescent="0.3">
      <c r="A1099" s="91"/>
      <c r="B1099" s="91"/>
      <c r="C1099" s="80"/>
      <c r="D1099" s="91"/>
      <c r="E1099" s="80"/>
      <c r="F1099" s="6"/>
      <c r="G1099" s="6"/>
      <c r="H1099" s="25"/>
      <c r="I1099" s="133"/>
      <c r="J1099" s="6"/>
      <c r="K1099" s="6"/>
      <c r="L1099" s="6"/>
      <c r="M1099" s="6"/>
      <c r="N1099" s="84"/>
      <c r="O1099" s="80" t="str">
        <f>IF(N1099="","",VLOOKUP(N1099,ROLES!B:C,2,FALSE))</f>
        <v/>
      </c>
      <c r="P1099" s="6"/>
      <c r="Q1099" s="6"/>
      <c r="R1099" s="16">
        <f t="shared" si="36"/>
        <v>0</v>
      </c>
      <c r="S1099" s="16"/>
      <c r="T1099" s="80" t="str">
        <f>IF(S1099="","",VLOOKUP(S1099,VALORACION!F:G,2,FALSE))</f>
        <v/>
      </c>
      <c r="U1099" s="11"/>
      <c r="V1099" s="80" t="str">
        <f>IF(U1099="","",VLOOKUP(U1099,ROLES!G:H,2,FALSE))</f>
        <v/>
      </c>
      <c r="W1099" s="6"/>
      <c r="X1099" s="6"/>
      <c r="Y1099" s="95" t="e">
        <f t="shared" si="35"/>
        <v>#VALUE!</v>
      </c>
      <c r="Z1099" s="6"/>
      <c r="AA1099" s="6"/>
    </row>
    <row r="1100" spans="1:27" ht="28.95" customHeight="1" x14ac:dyDescent="0.3">
      <c r="A1100" s="91"/>
      <c r="B1100" s="91"/>
      <c r="C1100" s="80"/>
      <c r="D1100" s="91"/>
      <c r="E1100" s="80"/>
      <c r="F1100" s="6"/>
      <c r="G1100" s="6"/>
      <c r="H1100" s="25"/>
      <c r="I1100" s="133"/>
      <c r="J1100" s="6"/>
      <c r="K1100" s="6"/>
      <c r="L1100" s="6"/>
      <c r="M1100" s="6"/>
      <c r="N1100" s="84"/>
      <c r="O1100" s="80" t="str">
        <f>IF(N1100="","",VLOOKUP(N1100,ROLES!B:C,2,FALSE))</f>
        <v/>
      </c>
      <c r="P1100" s="6"/>
      <c r="Q1100" s="6"/>
      <c r="R1100" s="16">
        <f t="shared" si="36"/>
        <v>0</v>
      </c>
      <c r="S1100" s="16"/>
      <c r="T1100" s="80" t="str">
        <f>IF(S1100="","",VLOOKUP(S1100,VALORACION!F:G,2,FALSE))</f>
        <v/>
      </c>
      <c r="U1100" s="11"/>
      <c r="V1100" s="80" t="str">
        <f>IF(U1100="","",VLOOKUP(U1100,ROLES!G:H,2,FALSE))</f>
        <v/>
      </c>
      <c r="W1100" s="6"/>
      <c r="X1100" s="6"/>
      <c r="Y1100" s="95" t="e">
        <f t="shared" si="35"/>
        <v>#VALUE!</v>
      </c>
      <c r="Z1100" s="6"/>
      <c r="AA1100" s="6"/>
    </row>
    <row r="1101" spans="1:27" ht="28.95" customHeight="1" x14ac:dyDescent="0.3">
      <c r="A1101" s="91"/>
      <c r="B1101" s="91"/>
      <c r="C1101" s="80"/>
      <c r="D1101" s="91"/>
      <c r="E1101" s="80"/>
      <c r="F1101" s="6"/>
      <c r="G1101" s="6"/>
      <c r="H1101" s="25"/>
      <c r="I1101" s="133"/>
      <c r="J1101" s="6"/>
      <c r="K1101" s="6"/>
      <c r="L1101" s="6"/>
      <c r="M1101" s="6"/>
      <c r="N1101" s="84"/>
      <c r="O1101" s="80" t="str">
        <f>IF(N1101="","",VLOOKUP(N1101,ROLES!B:C,2,FALSE))</f>
        <v/>
      </c>
      <c r="P1101" s="6"/>
      <c r="Q1101" s="6"/>
      <c r="R1101" s="16">
        <f t="shared" si="36"/>
        <v>0</v>
      </c>
      <c r="S1101" s="16"/>
      <c r="T1101" s="80" t="str">
        <f>IF(S1101="","",VLOOKUP(S1101,VALORACION!F:G,2,FALSE))</f>
        <v/>
      </c>
      <c r="U1101" s="11"/>
      <c r="V1101" s="80" t="str">
        <f>IF(U1101="","",VLOOKUP(U1101,ROLES!G:H,2,FALSE))</f>
        <v/>
      </c>
      <c r="W1101" s="6"/>
      <c r="X1101" s="6"/>
      <c r="Y1101" s="95" t="e">
        <f t="shared" si="35"/>
        <v>#VALUE!</v>
      </c>
      <c r="Z1101" s="6"/>
      <c r="AA1101" s="6"/>
    </row>
    <row r="1102" spans="1:27" ht="28.95" customHeight="1" x14ac:dyDescent="0.3">
      <c r="A1102" s="91"/>
      <c r="B1102" s="91"/>
      <c r="C1102" s="80"/>
      <c r="D1102" s="91"/>
      <c r="E1102" s="80"/>
      <c r="F1102" s="6"/>
      <c r="G1102" s="6"/>
      <c r="H1102" s="25"/>
      <c r="I1102" s="133"/>
      <c r="J1102" s="6"/>
      <c r="K1102" s="6"/>
      <c r="L1102" s="6"/>
      <c r="M1102" s="6"/>
      <c r="N1102" s="84"/>
      <c r="O1102" s="80" t="str">
        <f>IF(N1102="","",VLOOKUP(N1102,ROLES!B:C,2,FALSE))</f>
        <v/>
      </c>
      <c r="P1102" s="6"/>
      <c r="Q1102" s="6"/>
      <c r="R1102" s="16">
        <f t="shared" si="36"/>
        <v>0</v>
      </c>
      <c r="S1102" s="16"/>
      <c r="T1102" s="80" t="str">
        <f>IF(S1102="","",VLOOKUP(S1102,VALORACION!F:G,2,FALSE))</f>
        <v/>
      </c>
      <c r="U1102" s="11" t="s">
        <v>0</v>
      </c>
      <c r="V1102" s="80">
        <f>IF(U1102="","",VLOOKUP(U1102,ROLES!G:H,2,FALSE))</f>
        <v>10</v>
      </c>
      <c r="W1102" s="6"/>
      <c r="X1102" s="6"/>
      <c r="Y1102" s="95" t="e">
        <f t="shared" si="35"/>
        <v>#VALUE!</v>
      </c>
      <c r="Z1102" s="6"/>
      <c r="AA1102" s="6"/>
    </row>
  </sheetData>
  <mergeCells count="13">
    <mergeCell ref="A1:AA1"/>
    <mergeCell ref="AC2:AF2"/>
    <mergeCell ref="AC3:AC5"/>
    <mergeCell ref="AD3:AD5"/>
    <mergeCell ref="AE3:AE5"/>
    <mergeCell ref="AF3:AF5"/>
    <mergeCell ref="F2:I2"/>
    <mergeCell ref="Z2:AA2"/>
    <mergeCell ref="J2:L2"/>
    <mergeCell ref="N2:R2"/>
    <mergeCell ref="U2:X2"/>
    <mergeCell ref="A2:E2"/>
    <mergeCell ref="S2:T2"/>
  </mergeCells>
  <dataValidations count="3">
    <dataValidation type="list" allowBlank="1" showInputMessage="1" showErrorMessage="1" sqref="U4:U1102" xr:uid="{558B4F82-00CF-481E-AA11-25920B0BA3C3}">
      <formula1>$AC$6:$AC$15</formula1>
    </dataValidation>
    <dataValidation type="list" allowBlank="1" showInputMessage="1" showErrorMessage="1" sqref="W4:W783" xr:uid="{084ED97C-7886-4DAF-9FC8-1DE2E999CD23}">
      <formula1>$AE$6:$AE$15</formula1>
    </dataValidation>
    <dataValidation type="list" allowBlank="1" showInputMessage="1" showErrorMessage="1" sqref="D4 E4:E1102" xr:uid="{ADBF4195-41CB-4665-9DE5-09213AFF11D7}">
      <formula1>INDIRECT(C4)</formula1>
    </dataValidation>
  </dataValidations>
  <hyperlinks>
    <hyperlink ref="L4" r:id="rId1" xr:uid="{E26DDD85-16FE-4718-9864-F6961720E576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BDCDD9-5D9A-48F1-8E42-45ED99714A9C}">
          <x14:formula1>
            <xm:f>DATOS!$G$2:$G$7</xm:f>
          </x14:formula1>
          <xm:sqref>C4:C1102</xm:sqref>
        </x14:dataValidation>
        <x14:dataValidation type="list" allowBlank="1" showInputMessage="1" showErrorMessage="1" xr:uid="{50E81478-E930-4153-8321-7EA97F78B3D7}">
          <x14:formula1>
            <xm:f>DATOS!$A$2</xm:f>
          </x14:formula1>
          <xm:sqref>A4:A1048576</xm:sqref>
        </x14:dataValidation>
        <x14:dataValidation type="list" allowBlank="1" showInputMessage="1" showErrorMessage="1" xr:uid="{BFE977EB-350B-4D27-A685-A62059DA0626}">
          <x14:formula1>
            <xm:f>DATOS!$B$2</xm:f>
          </x14:formula1>
          <xm:sqref>B4:B1048576</xm:sqref>
        </x14:dataValidation>
        <x14:dataValidation type="list" allowBlank="1" showInputMessage="1" showErrorMessage="1" xr:uid="{FAF5D8AA-1CF3-4140-B397-3690EB76A1F2}">
          <x14:formula1>
            <xm:f>ROLES!$B$3:$B$44</xm:f>
          </x14:formula1>
          <xm:sqref>N4:N1102</xm:sqref>
        </x14:dataValidation>
        <x14:dataValidation type="list" allowBlank="1" showInputMessage="1" showErrorMessage="1" xr:uid="{83BCD876-E81F-47B8-8C05-8FEFEC074ABD}">
          <x14:formula1>
            <xm:f>DATOS!$C$2:$C$34</xm:f>
          </x14:formula1>
          <xm:sqref>D5:D1102</xm:sqref>
        </x14:dataValidation>
        <x14:dataValidation type="list" allowBlank="1" showInputMessage="1" showErrorMessage="1" xr:uid="{5253188C-65E1-45C8-8EA1-BB9EA37676A0}">
          <x14:formula1>
            <xm:f>DATOS!$CI$2:$CI$11</xm:f>
          </x14:formula1>
          <xm:sqref>H4:H1102</xm:sqref>
        </x14:dataValidation>
        <x14:dataValidation type="list" allowBlank="1" showInputMessage="1" showErrorMessage="1" xr:uid="{901882B8-5F5F-43F8-8030-967144145C42}">
          <x14:formula1>
            <xm:f>VALORACION!$F$4:$F$13</xm:f>
          </x14:formula1>
          <xm:sqref>S4:S1102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1F75-E728-43FD-9DD8-54464C17EBFA}">
  <dimension ref="A1:J44"/>
  <sheetViews>
    <sheetView topLeftCell="B1" workbookViewId="0">
      <selection activeCell="C3" sqref="C3"/>
    </sheetView>
  </sheetViews>
  <sheetFormatPr baseColWidth="10" defaultRowHeight="14.4" x14ac:dyDescent="0.3"/>
  <cols>
    <col min="1" max="1" width="39.33203125" customWidth="1"/>
    <col min="2" max="2" width="47.33203125" customWidth="1"/>
    <col min="3" max="3" width="12.21875" customWidth="1"/>
    <col min="4" max="4" width="4.77734375" customWidth="1"/>
    <col min="5" max="5" width="23" customWidth="1"/>
    <col min="7" max="7" width="29.6640625" customWidth="1"/>
    <col min="9" max="9" width="26.77734375" customWidth="1"/>
  </cols>
  <sheetData>
    <row r="1" spans="1:10" ht="30.6" customHeight="1" x14ac:dyDescent="0.3">
      <c r="A1" s="172" t="s">
        <v>1112</v>
      </c>
      <c r="B1" s="74" t="s">
        <v>1132</v>
      </c>
      <c r="C1" s="75" t="s">
        <v>18</v>
      </c>
      <c r="D1" s="57"/>
      <c r="E1" s="174" t="s">
        <v>1172</v>
      </c>
      <c r="F1" s="161" t="s">
        <v>18</v>
      </c>
      <c r="G1" s="174" t="s">
        <v>19</v>
      </c>
      <c r="H1" s="161" t="s">
        <v>18</v>
      </c>
      <c r="I1" s="174" t="s">
        <v>20</v>
      </c>
      <c r="J1" s="161" t="s">
        <v>18</v>
      </c>
    </row>
    <row r="2" spans="1:10" x14ac:dyDescent="0.3">
      <c r="A2" s="173"/>
      <c r="B2" s="48"/>
      <c r="C2" s="68"/>
      <c r="D2" s="58"/>
      <c r="E2" s="175"/>
      <c r="F2" s="162"/>
      <c r="G2" s="175"/>
      <c r="H2" s="162"/>
      <c r="I2" s="175"/>
      <c r="J2" s="162"/>
    </row>
    <row r="3" spans="1:10" ht="15.6" x14ac:dyDescent="0.3">
      <c r="A3" s="163" t="s">
        <v>1113</v>
      </c>
      <c r="B3" s="49" t="s">
        <v>1133</v>
      </c>
      <c r="C3" s="69">
        <v>10</v>
      </c>
      <c r="D3" s="59"/>
      <c r="E3" s="176" t="s">
        <v>1173</v>
      </c>
      <c r="F3" s="178">
        <v>10</v>
      </c>
      <c r="G3" s="168" t="s">
        <v>0</v>
      </c>
      <c r="H3" s="179">
        <v>10</v>
      </c>
      <c r="I3" s="181" t="s">
        <v>17</v>
      </c>
      <c r="J3" s="182">
        <v>10</v>
      </c>
    </row>
    <row r="4" spans="1:10" ht="27.6" x14ac:dyDescent="0.3">
      <c r="A4" s="164"/>
      <c r="B4" s="50" t="s">
        <v>1134</v>
      </c>
      <c r="C4" s="69">
        <v>9.5</v>
      </c>
      <c r="D4" s="60"/>
      <c r="E4" s="177"/>
      <c r="F4" s="178"/>
      <c r="G4" s="169"/>
      <c r="H4" s="180"/>
      <c r="I4" s="181"/>
      <c r="J4" s="182"/>
    </row>
    <row r="5" spans="1:10" ht="41.4" x14ac:dyDescent="0.3">
      <c r="A5" s="164"/>
      <c r="B5" s="51" t="s">
        <v>1135</v>
      </c>
      <c r="C5" s="73"/>
      <c r="D5" s="60"/>
      <c r="E5" s="62">
        <v>120</v>
      </c>
      <c r="F5" s="178"/>
      <c r="G5" s="169"/>
      <c r="H5" s="180"/>
      <c r="I5" s="181"/>
      <c r="J5" s="182"/>
    </row>
    <row r="6" spans="1:10" ht="24" customHeight="1" x14ac:dyDescent="0.3">
      <c r="A6" s="164"/>
      <c r="B6" s="52"/>
      <c r="C6" s="78"/>
      <c r="D6" s="60"/>
      <c r="E6" s="63" t="s">
        <v>1174</v>
      </c>
      <c r="F6" s="183">
        <v>9</v>
      </c>
      <c r="G6" s="168" t="s">
        <v>1</v>
      </c>
      <c r="H6" s="179">
        <v>9</v>
      </c>
      <c r="I6" s="186" t="s">
        <v>16</v>
      </c>
      <c r="J6" s="170">
        <v>9</v>
      </c>
    </row>
    <row r="7" spans="1:10" ht="41.4" x14ac:dyDescent="0.3">
      <c r="A7" s="165"/>
      <c r="B7" s="51" t="s">
        <v>1136</v>
      </c>
      <c r="C7" s="69">
        <v>9.3000000000000007</v>
      </c>
      <c r="D7" s="60"/>
      <c r="E7" s="64" t="s">
        <v>1175</v>
      </c>
      <c r="F7" s="167"/>
      <c r="G7" s="184"/>
      <c r="H7" s="185"/>
      <c r="I7" s="187"/>
      <c r="J7" s="171"/>
    </row>
    <row r="8" spans="1:10" ht="21.6" customHeight="1" x14ac:dyDescent="0.3">
      <c r="A8" s="163" t="s">
        <v>1114</v>
      </c>
      <c r="B8" s="51" t="s">
        <v>1137</v>
      </c>
      <c r="C8" s="71">
        <v>9</v>
      </c>
      <c r="D8" s="60"/>
      <c r="E8" s="63" t="s">
        <v>1176</v>
      </c>
      <c r="F8" s="166">
        <v>8</v>
      </c>
      <c r="G8" s="168" t="s">
        <v>2</v>
      </c>
      <c r="H8" s="179">
        <v>8</v>
      </c>
      <c r="I8" s="186" t="s">
        <v>15</v>
      </c>
      <c r="J8" s="170">
        <v>8</v>
      </c>
    </row>
    <row r="9" spans="1:10" ht="28.8" customHeight="1" x14ac:dyDescent="0.3">
      <c r="A9" s="164"/>
      <c r="B9" s="52"/>
      <c r="C9" s="72"/>
      <c r="D9" s="60"/>
      <c r="E9" s="65" t="s">
        <v>1177</v>
      </c>
      <c r="F9" s="167"/>
      <c r="G9" s="169"/>
      <c r="H9" s="185"/>
      <c r="I9" s="187"/>
      <c r="J9" s="171"/>
    </row>
    <row r="10" spans="1:10" ht="28.8" customHeight="1" x14ac:dyDescent="0.3">
      <c r="A10" s="164"/>
      <c r="B10" s="51" t="s">
        <v>1138</v>
      </c>
      <c r="C10" s="71">
        <v>8.8000000000000007</v>
      </c>
      <c r="D10" s="60"/>
      <c r="E10" s="63" t="s">
        <v>1178</v>
      </c>
      <c r="F10" s="166">
        <v>7</v>
      </c>
      <c r="G10" s="168" t="s">
        <v>3</v>
      </c>
      <c r="H10" s="179">
        <v>7</v>
      </c>
      <c r="I10" s="186" t="s">
        <v>14</v>
      </c>
      <c r="J10" s="170">
        <v>7</v>
      </c>
    </row>
    <row r="11" spans="1:10" ht="27.6" customHeight="1" x14ac:dyDescent="0.3">
      <c r="A11" s="165"/>
      <c r="B11" s="52"/>
      <c r="C11" s="72"/>
      <c r="D11" s="60"/>
      <c r="E11" s="65" t="s">
        <v>1179</v>
      </c>
      <c r="F11" s="167"/>
      <c r="G11" s="184"/>
      <c r="H11" s="185"/>
      <c r="I11" s="188"/>
      <c r="J11" s="171"/>
    </row>
    <row r="12" spans="1:10" ht="55.2" x14ac:dyDescent="0.3">
      <c r="A12" s="189" t="s">
        <v>1115</v>
      </c>
      <c r="B12" s="53" t="s">
        <v>1139</v>
      </c>
      <c r="C12" s="70">
        <v>8.5</v>
      </c>
      <c r="D12" s="60"/>
      <c r="E12" s="63" t="s">
        <v>1180</v>
      </c>
      <c r="F12" s="166">
        <v>6</v>
      </c>
      <c r="G12" s="9" t="s">
        <v>4</v>
      </c>
      <c r="H12" s="44">
        <v>6</v>
      </c>
      <c r="I12" s="21" t="s">
        <v>13</v>
      </c>
      <c r="J12" s="43">
        <v>6</v>
      </c>
    </row>
    <row r="13" spans="1:10" ht="55.2" x14ac:dyDescent="0.3">
      <c r="A13" s="190"/>
      <c r="B13" s="53" t="s">
        <v>1140</v>
      </c>
      <c r="C13" s="70">
        <v>8.3000000000000007</v>
      </c>
      <c r="D13" s="60"/>
      <c r="E13" s="65" t="s">
        <v>1181</v>
      </c>
      <c r="F13" s="167"/>
      <c r="G13" s="45" t="s">
        <v>5</v>
      </c>
      <c r="H13" s="44">
        <v>5</v>
      </c>
      <c r="I13" s="21" t="s">
        <v>12</v>
      </c>
      <c r="J13" s="43">
        <v>5</v>
      </c>
    </row>
    <row r="14" spans="1:10" ht="15.6" x14ac:dyDescent="0.3">
      <c r="A14" s="191" t="s">
        <v>1116</v>
      </c>
      <c r="B14" s="54" t="s">
        <v>1141</v>
      </c>
      <c r="C14" s="70">
        <v>8</v>
      </c>
      <c r="D14" s="60"/>
      <c r="E14" s="63" t="s">
        <v>1182</v>
      </c>
      <c r="F14" s="166">
        <v>5</v>
      </c>
      <c r="G14" s="192" t="s">
        <v>6</v>
      </c>
      <c r="H14" s="179">
        <v>4</v>
      </c>
      <c r="I14" s="186" t="s">
        <v>11</v>
      </c>
      <c r="J14" s="170">
        <v>4</v>
      </c>
    </row>
    <row r="15" spans="1:10" ht="27.6" x14ac:dyDescent="0.3">
      <c r="A15" s="191"/>
      <c r="B15" s="55" t="s">
        <v>1142</v>
      </c>
      <c r="C15" s="70">
        <v>7.8</v>
      </c>
      <c r="D15" s="60"/>
      <c r="E15" s="65" t="s">
        <v>1183</v>
      </c>
      <c r="F15" s="167"/>
      <c r="G15" s="193"/>
      <c r="H15" s="185"/>
      <c r="I15" s="188"/>
      <c r="J15" s="171"/>
    </row>
    <row r="16" spans="1:10" ht="41.4" x14ac:dyDescent="0.3">
      <c r="A16" s="191"/>
      <c r="B16" s="55" t="s">
        <v>1143</v>
      </c>
      <c r="C16" s="70">
        <v>7.5</v>
      </c>
      <c r="D16" s="60"/>
      <c r="E16" s="63" t="s">
        <v>1184</v>
      </c>
      <c r="F16" s="166">
        <v>4</v>
      </c>
      <c r="G16" s="9" t="s">
        <v>7</v>
      </c>
      <c r="H16" s="42">
        <v>3</v>
      </c>
      <c r="I16" s="46" t="s">
        <v>10</v>
      </c>
      <c r="J16" s="43">
        <v>3</v>
      </c>
    </row>
    <row r="17" spans="1:10" ht="27.6" x14ac:dyDescent="0.3">
      <c r="A17" s="191"/>
      <c r="B17" s="55" t="s">
        <v>1144</v>
      </c>
      <c r="C17" s="73">
        <v>7.3</v>
      </c>
      <c r="D17" s="60"/>
      <c r="E17" s="65" t="s">
        <v>1185</v>
      </c>
      <c r="F17" s="167"/>
      <c r="G17" s="192" t="s">
        <v>8</v>
      </c>
      <c r="H17" s="179">
        <v>2</v>
      </c>
      <c r="I17" s="186" t="s">
        <v>25</v>
      </c>
      <c r="J17" s="170">
        <v>2</v>
      </c>
    </row>
    <row r="18" spans="1:10" ht="27.6" x14ac:dyDescent="0.3">
      <c r="A18" s="189" t="s">
        <v>1117</v>
      </c>
      <c r="B18" s="53" t="s">
        <v>1145</v>
      </c>
      <c r="C18" s="70">
        <v>7</v>
      </c>
      <c r="D18" s="60"/>
      <c r="E18" s="63" t="s">
        <v>1186</v>
      </c>
      <c r="F18" s="166">
        <v>3</v>
      </c>
      <c r="G18" s="193"/>
      <c r="H18" s="185"/>
      <c r="I18" s="187"/>
      <c r="J18" s="171"/>
    </row>
    <row r="19" spans="1:10" ht="27.6" x14ac:dyDescent="0.3">
      <c r="A19" s="190"/>
      <c r="B19" s="53" t="s">
        <v>1146</v>
      </c>
      <c r="C19" s="70">
        <v>6.8</v>
      </c>
      <c r="D19" s="60"/>
      <c r="E19" s="65" t="s">
        <v>1187</v>
      </c>
      <c r="F19" s="167"/>
      <c r="G19" s="194" t="s">
        <v>9</v>
      </c>
      <c r="H19" s="195">
        <v>1</v>
      </c>
      <c r="I19" s="186" t="s">
        <v>26</v>
      </c>
      <c r="J19" s="170">
        <v>1</v>
      </c>
    </row>
    <row r="20" spans="1:10" ht="55.2" x14ac:dyDescent="0.3">
      <c r="A20" s="190"/>
      <c r="B20" s="50" t="s">
        <v>1147</v>
      </c>
      <c r="C20" s="69">
        <v>6.6</v>
      </c>
      <c r="D20" s="60"/>
      <c r="E20" s="63" t="s">
        <v>1188</v>
      </c>
      <c r="F20" s="166">
        <v>2</v>
      </c>
      <c r="G20" s="194"/>
      <c r="H20" s="195"/>
      <c r="I20" s="188"/>
      <c r="J20" s="171"/>
    </row>
    <row r="21" spans="1:10" ht="58.8" x14ac:dyDescent="0.3">
      <c r="A21" s="76" t="s">
        <v>1118</v>
      </c>
      <c r="B21" s="56" t="s">
        <v>1148</v>
      </c>
      <c r="C21" s="70">
        <v>6.5</v>
      </c>
      <c r="D21" s="60"/>
      <c r="E21" s="63" t="s">
        <v>1189</v>
      </c>
      <c r="F21" s="167"/>
    </row>
    <row r="22" spans="1:10" ht="27.6" x14ac:dyDescent="0.3">
      <c r="A22" s="196" t="s">
        <v>1119</v>
      </c>
      <c r="B22" s="55" t="s">
        <v>1149</v>
      </c>
      <c r="C22" s="70">
        <v>6.4</v>
      </c>
      <c r="D22" s="60"/>
      <c r="E22" s="66" t="s">
        <v>1190</v>
      </c>
      <c r="F22" s="178">
        <v>1</v>
      </c>
      <c r="G22" s="28"/>
      <c r="H22" s="30"/>
      <c r="I22" s="30"/>
      <c r="J22" s="30"/>
    </row>
    <row r="23" spans="1:10" ht="27.6" x14ac:dyDescent="0.3">
      <c r="A23" s="198"/>
      <c r="B23" s="54" t="s">
        <v>1150</v>
      </c>
      <c r="C23" s="70">
        <v>6.2</v>
      </c>
      <c r="D23" s="60"/>
      <c r="E23" s="66" t="s">
        <v>1191</v>
      </c>
      <c r="F23" s="178"/>
      <c r="G23" s="28"/>
      <c r="H23" s="30"/>
    </row>
    <row r="24" spans="1:10" ht="55.2" x14ac:dyDescent="0.3">
      <c r="A24" s="197"/>
      <c r="B24" s="55" t="s">
        <v>1151</v>
      </c>
      <c r="C24" s="70">
        <v>6</v>
      </c>
      <c r="D24" s="60"/>
      <c r="E24" s="28"/>
      <c r="F24" s="30"/>
    </row>
    <row r="25" spans="1:10" ht="58.8" x14ac:dyDescent="0.3">
      <c r="A25" s="77" t="s">
        <v>1120</v>
      </c>
      <c r="B25" s="53" t="s">
        <v>1152</v>
      </c>
      <c r="C25" s="70">
        <v>6</v>
      </c>
      <c r="D25" s="60"/>
      <c r="E25" s="28"/>
      <c r="F25" s="30"/>
    </row>
    <row r="26" spans="1:10" ht="27.6" x14ac:dyDescent="0.3">
      <c r="A26" s="191" t="s">
        <v>1121</v>
      </c>
      <c r="B26" s="55" t="s">
        <v>1153</v>
      </c>
      <c r="C26" s="70">
        <v>6</v>
      </c>
      <c r="D26" s="60"/>
      <c r="E26" s="28"/>
      <c r="F26" s="30"/>
    </row>
    <row r="27" spans="1:10" ht="15.6" x14ac:dyDescent="0.3">
      <c r="A27" s="191"/>
      <c r="B27" s="55" t="s">
        <v>1154</v>
      </c>
      <c r="C27" s="70">
        <v>5.8</v>
      </c>
      <c r="D27" s="60"/>
      <c r="E27" s="28"/>
      <c r="F27" s="30"/>
    </row>
    <row r="28" spans="1:10" ht="69" x14ac:dyDescent="0.3">
      <c r="A28" s="191"/>
      <c r="B28" s="55" t="s">
        <v>1155</v>
      </c>
      <c r="C28" s="70">
        <v>5.6</v>
      </c>
      <c r="D28" s="60"/>
      <c r="E28" s="28"/>
      <c r="F28" s="30"/>
    </row>
    <row r="29" spans="1:10" ht="42" x14ac:dyDescent="0.3">
      <c r="A29" s="76" t="s">
        <v>1122</v>
      </c>
      <c r="B29" s="55" t="s">
        <v>1156</v>
      </c>
      <c r="C29" s="70">
        <v>5.4</v>
      </c>
      <c r="D29" s="61"/>
      <c r="E29" s="28"/>
      <c r="F29" s="30"/>
    </row>
    <row r="30" spans="1:10" ht="42" x14ac:dyDescent="0.3">
      <c r="A30" s="76" t="s">
        <v>1123</v>
      </c>
      <c r="B30" s="55" t="s">
        <v>1157</v>
      </c>
      <c r="C30" s="70">
        <v>5.2</v>
      </c>
      <c r="D30" s="61"/>
      <c r="E30" s="28"/>
      <c r="F30" s="30"/>
    </row>
    <row r="31" spans="1:10" ht="42.6" x14ac:dyDescent="0.3">
      <c r="A31" s="76" t="s">
        <v>1124</v>
      </c>
      <c r="B31" s="55" t="s">
        <v>1158</v>
      </c>
      <c r="C31" s="70">
        <v>5</v>
      </c>
      <c r="D31" s="61"/>
      <c r="E31" s="28"/>
      <c r="F31" s="30"/>
    </row>
    <row r="32" spans="1:10" ht="42" x14ac:dyDescent="0.3">
      <c r="A32" s="76" t="s">
        <v>1125</v>
      </c>
      <c r="B32" s="55" t="s">
        <v>1159</v>
      </c>
      <c r="C32" s="70">
        <v>4.8</v>
      </c>
      <c r="D32" s="61"/>
      <c r="E32" s="28"/>
      <c r="F32" s="30"/>
    </row>
    <row r="33" spans="1:6" ht="24.6" customHeight="1" x14ac:dyDescent="0.3">
      <c r="A33" s="199" t="s">
        <v>1126</v>
      </c>
      <c r="B33" s="55" t="s">
        <v>1160</v>
      </c>
      <c r="C33" s="70">
        <v>4.5999999999999996</v>
      </c>
      <c r="D33" s="61"/>
      <c r="E33" s="28"/>
      <c r="F33" s="30"/>
    </row>
    <row r="34" spans="1:6" ht="24.6" customHeight="1" x14ac:dyDescent="0.3">
      <c r="A34" s="199"/>
      <c r="B34" s="55" t="s">
        <v>1161</v>
      </c>
      <c r="C34" s="70">
        <v>4.4000000000000004</v>
      </c>
      <c r="D34" s="61"/>
      <c r="E34" s="28"/>
      <c r="F34" s="30"/>
    </row>
    <row r="35" spans="1:6" ht="27.6" x14ac:dyDescent="0.3">
      <c r="A35" s="196" t="s">
        <v>1127</v>
      </c>
      <c r="B35" s="55" t="s">
        <v>1162</v>
      </c>
      <c r="C35" s="70">
        <v>4.2</v>
      </c>
      <c r="D35" s="61"/>
      <c r="E35" s="28"/>
      <c r="F35" s="30"/>
    </row>
    <row r="36" spans="1:6" ht="27.6" x14ac:dyDescent="0.3">
      <c r="A36" s="197"/>
      <c r="B36" s="55" t="s">
        <v>1163</v>
      </c>
      <c r="C36" s="70">
        <v>4</v>
      </c>
      <c r="D36" s="61"/>
      <c r="E36" s="28"/>
      <c r="F36" s="30"/>
    </row>
    <row r="37" spans="1:6" ht="20.399999999999999" customHeight="1" x14ac:dyDescent="0.3">
      <c r="A37" s="200" t="s">
        <v>1128</v>
      </c>
      <c r="B37" s="55" t="s">
        <v>1164</v>
      </c>
      <c r="C37" s="70">
        <v>3.8</v>
      </c>
      <c r="D37" s="61"/>
      <c r="E37" s="28"/>
      <c r="F37" s="30"/>
    </row>
    <row r="38" spans="1:6" ht="25.2" customHeight="1" x14ac:dyDescent="0.3">
      <c r="A38" s="191"/>
      <c r="B38" s="53" t="s">
        <v>1165</v>
      </c>
      <c r="C38" s="70">
        <v>3.6</v>
      </c>
      <c r="D38" s="61"/>
      <c r="E38" s="28"/>
      <c r="F38" s="30"/>
    </row>
    <row r="39" spans="1:6" ht="22.2" customHeight="1" x14ac:dyDescent="0.3">
      <c r="A39" s="196" t="s">
        <v>1129</v>
      </c>
      <c r="B39" s="53" t="s">
        <v>1166</v>
      </c>
      <c r="C39" s="70">
        <v>3.4</v>
      </c>
      <c r="D39" s="61"/>
      <c r="E39" s="28"/>
      <c r="F39" s="30"/>
    </row>
    <row r="40" spans="1:6" ht="22.8" customHeight="1" x14ac:dyDescent="0.3">
      <c r="A40" s="197"/>
      <c r="B40" s="53" t="s">
        <v>1167</v>
      </c>
      <c r="C40" s="70">
        <v>3.2</v>
      </c>
      <c r="D40" s="61"/>
      <c r="E40" s="28"/>
      <c r="F40" s="30"/>
    </row>
    <row r="41" spans="1:6" ht="15.6" x14ac:dyDescent="0.3">
      <c r="A41" s="196" t="s">
        <v>1130</v>
      </c>
      <c r="B41" s="53" t="s">
        <v>1168</v>
      </c>
      <c r="C41" s="70">
        <v>3</v>
      </c>
      <c r="D41" s="61"/>
      <c r="E41" s="28"/>
      <c r="F41" s="30"/>
    </row>
    <row r="42" spans="1:6" ht="15.6" x14ac:dyDescent="0.3">
      <c r="A42" s="197"/>
      <c r="B42" s="53" t="s">
        <v>1169</v>
      </c>
      <c r="C42" s="69">
        <v>2.8</v>
      </c>
      <c r="D42" s="61"/>
      <c r="E42" s="28"/>
      <c r="F42" s="30"/>
    </row>
    <row r="43" spans="1:6" ht="25.2" customHeight="1" x14ac:dyDescent="0.3">
      <c r="A43" s="196" t="s">
        <v>1131</v>
      </c>
      <c r="B43" s="53" t="s">
        <v>1170</v>
      </c>
      <c r="C43" s="70">
        <v>2.4</v>
      </c>
      <c r="D43" s="61"/>
      <c r="E43" s="28"/>
      <c r="F43" s="30"/>
    </row>
    <row r="44" spans="1:6" ht="23.4" customHeight="1" x14ac:dyDescent="0.3">
      <c r="A44" s="197"/>
      <c r="B44" s="55" t="s">
        <v>1171</v>
      </c>
      <c r="C44" s="69">
        <v>2</v>
      </c>
      <c r="D44" s="61"/>
      <c r="E44" s="67"/>
      <c r="F44" s="67"/>
    </row>
  </sheetData>
  <mergeCells count="59">
    <mergeCell ref="A39:A40"/>
    <mergeCell ref="A41:A42"/>
    <mergeCell ref="A43:A44"/>
    <mergeCell ref="A22:A24"/>
    <mergeCell ref="F22:F23"/>
    <mergeCell ref="A26:A28"/>
    <mergeCell ref="A33:A34"/>
    <mergeCell ref="A35:A36"/>
    <mergeCell ref="A37:A38"/>
    <mergeCell ref="A18:A20"/>
    <mergeCell ref="F18:F19"/>
    <mergeCell ref="G19:G20"/>
    <mergeCell ref="H19:H20"/>
    <mergeCell ref="I19:I20"/>
    <mergeCell ref="J19:J20"/>
    <mergeCell ref="F20:F21"/>
    <mergeCell ref="I14:I15"/>
    <mergeCell ref="J14:J15"/>
    <mergeCell ref="F16:F17"/>
    <mergeCell ref="G17:G18"/>
    <mergeCell ref="H17:H18"/>
    <mergeCell ref="I17:I18"/>
    <mergeCell ref="J17:J18"/>
    <mergeCell ref="H14:H15"/>
    <mergeCell ref="A12:A13"/>
    <mergeCell ref="F12:F13"/>
    <mergeCell ref="A14:A17"/>
    <mergeCell ref="F14:F15"/>
    <mergeCell ref="G14:G15"/>
    <mergeCell ref="H8:H9"/>
    <mergeCell ref="I8:I9"/>
    <mergeCell ref="J8:J9"/>
    <mergeCell ref="F10:F11"/>
    <mergeCell ref="G10:G11"/>
    <mergeCell ref="H10:H11"/>
    <mergeCell ref="I10:I11"/>
    <mergeCell ref="J10:J11"/>
    <mergeCell ref="I3:I5"/>
    <mergeCell ref="J3:J5"/>
    <mergeCell ref="F6:F7"/>
    <mergeCell ref="G6:G7"/>
    <mergeCell ref="H6:H7"/>
    <mergeCell ref="I6:I7"/>
    <mergeCell ref="J1:J2"/>
    <mergeCell ref="A8:A11"/>
    <mergeCell ref="F8:F9"/>
    <mergeCell ref="G8:G9"/>
    <mergeCell ref="J6:J7"/>
    <mergeCell ref="A1:A2"/>
    <mergeCell ref="E1:E2"/>
    <mergeCell ref="F1:F2"/>
    <mergeCell ref="G1:G2"/>
    <mergeCell ref="H1:H2"/>
    <mergeCell ref="I1:I2"/>
    <mergeCell ref="A3:A7"/>
    <mergeCell ref="E3:E4"/>
    <mergeCell ref="F3:F5"/>
    <mergeCell ref="G3:G5"/>
    <mergeCell ref="H3:H5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5A9A-E58C-42D6-9511-524DE2A00C78}">
  <dimension ref="A1:B16"/>
  <sheetViews>
    <sheetView topLeftCell="A11" workbookViewId="0">
      <selection activeCell="E15" sqref="E15"/>
    </sheetView>
  </sheetViews>
  <sheetFormatPr baseColWidth="10" defaultRowHeight="13.8" x14ac:dyDescent="0.25"/>
  <cols>
    <col min="1" max="1" width="11.33203125" style="147" customWidth="1"/>
    <col min="2" max="2" width="107" style="147" customWidth="1"/>
    <col min="3" max="16384" width="11.5546875" style="147"/>
  </cols>
  <sheetData>
    <row r="1" spans="1:2" ht="33.6" hidden="1" customHeight="1" x14ac:dyDescent="0.25">
      <c r="A1" s="146" t="s">
        <v>1250</v>
      </c>
      <c r="B1" s="143" t="s">
        <v>1251</v>
      </c>
    </row>
    <row r="2" spans="1:2" ht="27.6" x14ac:dyDescent="0.25">
      <c r="A2" s="146" t="s">
        <v>1252</v>
      </c>
      <c r="B2" s="148" t="s">
        <v>1246</v>
      </c>
    </row>
    <row r="3" spans="1:2" ht="27.6" x14ac:dyDescent="0.25">
      <c r="A3" s="12">
        <v>1</v>
      </c>
      <c r="B3" s="13" t="s">
        <v>1253</v>
      </c>
    </row>
    <row r="4" spans="1:2" ht="41.4" x14ac:dyDescent="0.25">
      <c r="A4" s="12">
        <v>2</v>
      </c>
      <c r="B4" s="103" t="s">
        <v>1254</v>
      </c>
    </row>
    <row r="5" spans="1:2" ht="41.4" x14ac:dyDescent="0.25">
      <c r="A5" s="12">
        <v>3</v>
      </c>
      <c r="B5" s="14" t="s">
        <v>1247</v>
      </c>
    </row>
    <row r="6" spans="1:2" ht="41.4" x14ac:dyDescent="0.25">
      <c r="A6" s="12">
        <v>4</v>
      </c>
      <c r="B6" s="14" t="s">
        <v>1227</v>
      </c>
    </row>
    <row r="7" spans="1:2" ht="55.2" x14ac:dyDescent="0.25">
      <c r="A7" s="12">
        <v>5</v>
      </c>
      <c r="B7" s="14" t="s">
        <v>1255</v>
      </c>
    </row>
    <row r="8" spans="1:2" ht="40.799999999999997" customHeight="1" x14ac:dyDescent="0.25">
      <c r="A8" s="12">
        <v>6</v>
      </c>
      <c r="B8" s="14" t="s">
        <v>1256</v>
      </c>
    </row>
    <row r="9" spans="1:2" ht="41.4" x14ac:dyDescent="0.25">
      <c r="A9" s="12">
        <v>7</v>
      </c>
      <c r="B9" s="13" t="s">
        <v>1257</v>
      </c>
    </row>
    <row r="10" spans="1:2" ht="27" customHeight="1" x14ac:dyDescent="0.25">
      <c r="A10" s="12">
        <v>8</v>
      </c>
      <c r="B10" s="103" t="s">
        <v>1258</v>
      </c>
    </row>
    <row r="11" spans="1:2" ht="27.6" x14ac:dyDescent="0.25">
      <c r="A11" s="12">
        <v>9</v>
      </c>
      <c r="B11" s="14" t="s">
        <v>1259</v>
      </c>
    </row>
    <row r="12" spans="1:2" ht="27.6" x14ac:dyDescent="0.25">
      <c r="A12" s="12">
        <v>10</v>
      </c>
      <c r="B12" s="14" t="s">
        <v>1260</v>
      </c>
    </row>
    <row r="13" spans="1:2" ht="96.6" x14ac:dyDescent="0.25">
      <c r="A13" s="12">
        <v>11</v>
      </c>
      <c r="B13" s="14" t="s">
        <v>1261</v>
      </c>
    </row>
    <row r="14" spans="1:2" ht="41.4" x14ac:dyDescent="0.25">
      <c r="A14" s="12">
        <v>12</v>
      </c>
      <c r="B14" s="14" t="s">
        <v>1262</v>
      </c>
    </row>
    <row r="15" spans="1:2" ht="55.2" x14ac:dyDescent="0.25">
      <c r="A15" s="12">
        <v>13</v>
      </c>
      <c r="B15" s="14" t="s">
        <v>1263</v>
      </c>
    </row>
    <row r="16" spans="1:2" ht="55.2" x14ac:dyDescent="0.25">
      <c r="A16" s="144">
        <v>14</v>
      </c>
      <c r="B16" s="145" t="s">
        <v>1249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72BD1-BC88-4B4E-84C2-12FD543E8CF6}">
  <dimension ref="A1:CO1103"/>
  <sheetViews>
    <sheetView topLeftCell="C1" workbookViewId="0">
      <pane xSplit="1" ySplit="1" topLeftCell="D2" activePane="bottomRight" state="frozen"/>
      <selection activeCell="C1" sqref="C1"/>
      <selection pane="topRight" activeCell="D1" sqref="D1"/>
      <selection pane="bottomLeft" activeCell="C2" sqref="C2"/>
      <selection pane="bottomRight" activeCell="CN3" sqref="CN3:CN23"/>
    </sheetView>
  </sheetViews>
  <sheetFormatPr baseColWidth="10" defaultRowHeight="14.4" x14ac:dyDescent="0.3"/>
  <cols>
    <col min="1" max="1" width="14.109375" customWidth="1"/>
    <col min="2" max="2" width="9.88671875" customWidth="1"/>
    <col min="3" max="3" width="55.6640625" customWidth="1"/>
    <col min="4" max="4" width="28.33203125" bestFit="1" customWidth="1"/>
    <col min="6" max="6" width="2.33203125" customWidth="1"/>
    <col min="7" max="7" width="13.44140625" customWidth="1"/>
    <col min="8" max="8" width="2.33203125" customWidth="1"/>
    <col min="9" max="9" width="19.109375" customWidth="1"/>
    <col min="10" max="10" width="2.33203125" customWidth="1"/>
    <col min="11" max="11" width="19" customWidth="1"/>
    <col min="12" max="12" width="2.33203125" customWidth="1"/>
    <col min="13" max="13" width="20.77734375" customWidth="1"/>
    <col min="14" max="14" width="2.33203125" customWidth="1"/>
    <col min="15" max="15" width="22.88671875" customWidth="1"/>
    <col min="16" max="16" width="2.33203125" customWidth="1"/>
    <col min="17" max="17" width="22" customWidth="1"/>
    <col min="18" max="18" width="2.33203125" customWidth="1"/>
    <col min="19" max="19" width="20.21875" customWidth="1"/>
    <col min="20" max="20" width="2.33203125" customWidth="1"/>
    <col min="21" max="21" width="25.88671875" bestFit="1" customWidth="1"/>
    <col min="22" max="22" width="2.33203125" customWidth="1"/>
    <col min="23" max="23" width="17.109375" bestFit="1" customWidth="1"/>
    <col min="24" max="24" width="2.33203125" customWidth="1"/>
    <col min="25" max="25" width="13.21875" bestFit="1" customWidth="1"/>
    <col min="26" max="26" width="2.33203125" customWidth="1"/>
    <col min="27" max="27" width="22" bestFit="1" customWidth="1"/>
    <col min="28" max="28" width="2.33203125" customWidth="1"/>
    <col min="29" max="29" width="21.44140625" bestFit="1" customWidth="1"/>
    <col min="30" max="30" width="2.33203125" customWidth="1"/>
    <col min="31" max="31" width="12.6640625" bestFit="1" customWidth="1"/>
    <col min="32" max="32" width="2.33203125" customWidth="1"/>
    <col min="33" max="33" width="23.109375" bestFit="1" customWidth="1"/>
    <col min="34" max="34" width="2.33203125" customWidth="1"/>
    <col min="35" max="35" width="23.5546875" bestFit="1" customWidth="1"/>
    <col min="36" max="36" width="2.33203125" customWidth="1"/>
    <col min="37" max="37" width="26.109375" bestFit="1" customWidth="1"/>
    <col min="38" max="38" width="2.33203125" customWidth="1"/>
    <col min="39" max="39" width="25.88671875" bestFit="1" customWidth="1"/>
    <col min="40" max="40" width="2.33203125" customWidth="1"/>
    <col min="41" max="41" width="28.33203125" bestFit="1" customWidth="1"/>
    <col min="42" max="42" width="2.33203125" customWidth="1"/>
    <col min="43" max="43" width="23.77734375" bestFit="1" customWidth="1"/>
    <col min="44" max="44" width="2.33203125" customWidth="1"/>
    <col min="45" max="45" width="14.6640625" bestFit="1" customWidth="1"/>
    <col min="46" max="46" width="2.33203125" customWidth="1"/>
    <col min="47" max="47" width="18.44140625" bestFit="1" customWidth="1"/>
    <col min="48" max="48" width="2.33203125" customWidth="1"/>
    <col min="49" max="49" width="27.33203125" bestFit="1" customWidth="1"/>
    <col min="50" max="50" width="2.33203125" customWidth="1"/>
    <col min="51" max="51" width="21.77734375" bestFit="1" customWidth="1"/>
    <col min="52" max="52" width="2.33203125" customWidth="1"/>
    <col min="53" max="53" width="21.88671875" bestFit="1" customWidth="1"/>
    <col min="54" max="54" width="2.33203125" customWidth="1"/>
    <col min="55" max="55" width="19.88671875" bestFit="1" customWidth="1"/>
    <col min="56" max="56" width="2.33203125" customWidth="1"/>
    <col min="57" max="57" width="13.109375" bestFit="1" customWidth="1"/>
    <col min="58" max="58" width="2.33203125" customWidth="1"/>
    <col min="59" max="59" width="19.77734375" bestFit="1" customWidth="1"/>
    <col min="60" max="60" width="2.33203125" customWidth="1"/>
    <col min="61" max="61" width="22.6640625" bestFit="1" customWidth="1"/>
    <col min="62" max="62" width="2.33203125" customWidth="1"/>
    <col min="63" max="63" width="18.77734375" bestFit="1" customWidth="1"/>
    <col min="64" max="64" width="2.33203125" customWidth="1"/>
    <col min="65" max="65" width="26" bestFit="1" customWidth="1"/>
    <col min="66" max="66" width="2.33203125" customWidth="1"/>
    <col min="67" max="67" width="20.77734375" bestFit="1" customWidth="1"/>
    <col min="68" max="68" width="2.33203125" customWidth="1"/>
    <col min="69" max="69" width="15.6640625" bestFit="1" customWidth="1"/>
    <col min="70" max="70" width="2.33203125" customWidth="1"/>
    <col min="71" max="71" width="20.33203125" bestFit="1" customWidth="1"/>
    <col min="72" max="72" width="2.33203125" customWidth="1"/>
    <col min="73" max="73" width="18.109375" bestFit="1" customWidth="1"/>
    <col min="74" max="74" width="2.33203125" customWidth="1"/>
    <col min="75" max="75" width="18.21875" bestFit="1" customWidth="1"/>
    <col min="76" max="76" width="2.33203125" customWidth="1"/>
    <col min="77" max="77" width="15" bestFit="1" customWidth="1"/>
    <col min="78" max="78" width="2.33203125" customWidth="1"/>
    <col min="79" max="79" width="12.6640625" bestFit="1" customWidth="1"/>
    <col min="80" max="80" width="2.33203125" customWidth="1"/>
    <col min="81" max="81" width="21.21875" bestFit="1" customWidth="1"/>
    <col min="82" max="82" width="2.33203125" customWidth="1"/>
    <col min="84" max="84" width="2.33203125" customWidth="1"/>
    <col min="85" max="85" width="16.33203125" bestFit="1" customWidth="1"/>
    <col min="86" max="86" width="2.33203125" customWidth="1"/>
    <col min="87" max="87" width="37.88671875" bestFit="1" customWidth="1"/>
    <col min="88" max="88" width="11.5546875" customWidth="1"/>
    <col min="89" max="89" width="23" customWidth="1"/>
  </cols>
  <sheetData>
    <row r="1" spans="1:93" s="26" customFormat="1" ht="32.4" customHeight="1" x14ac:dyDescent="0.3">
      <c r="A1" s="33" t="s">
        <v>1092</v>
      </c>
      <c r="B1" s="33" t="s">
        <v>44</v>
      </c>
      <c r="C1" s="33" t="s">
        <v>1094</v>
      </c>
      <c r="D1" s="33" t="s">
        <v>1093</v>
      </c>
      <c r="E1" s="35" t="s">
        <v>1105</v>
      </c>
      <c r="F1" s="40"/>
      <c r="G1" s="40" t="s">
        <v>1100</v>
      </c>
      <c r="H1" s="40"/>
      <c r="I1" s="40" t="s">
        <v>1101</v>
      </c>
      <c r="J1" s="40"/>
      <c r="K1" s="40" t="s">
        <v>1102</v>
      </c>
      <c r="L1" s="40"/>
      <c r="M1" s="40" t="s">
        <v>1108</v>
      </c>
      <c r="N1" s="40"/>
      <c r="O1" s="40" t="s">
        <v>1103</v>
      </c>
      <c r="P1" s="40"/>
      <c r="Q1" s="40" t="s">
        <v>1109</v>
      </c>
      <c r="R1" s="40"/>
      <c r="S1" s="40" t="s">
        <v>1104</v>
      </c>
      <c r="U1" s="26" t="s">
        <v>48</v>
      </c>
      <c r="W1" s="26" t="s">
        <v>174</v>
      </c>
      <c r="Y1" s="26" t="s">
        <v>1097</v>
      </c>
      <c r="AA1" s="26" t="s">
        <v>198</v>
      </c>
      <c r="AC1" s="26" t="s">
        <v>245</v>
      </c>
      <c r="AE1" s="26" t="s">
        <v>75</v>
      </c>
      <c r="AG1" s="26" t="s">
        <v>392</v>
      </c>
      <c r="AI1" s="26" t="s">
        <v>408</v>
      </c>
      <c r="AK1" s="26" t="s">
        <v>445</v>
      </c>
      <c r="AM1" s="26" t="s">
        <v>209</v>
      </c>
      <c r="AO1" s="26" t="s">
        <v>499</v>
      </c>
      <c r="AQ1" s="26" t="s">
        <v>610</v>
      </c>
      <c r="AS1" s="26" t="s">
        <v>640</v>
      </c>
      <c r="AU1" s="26" t="s">
        <v>1195</v>
      </c>
      <c r="AW1" s="26" t="s">
        <v>688</v>
      </c>
      <c r="AY1" s="26" t="s">
        <v>717</v>
      </c>
      <c r="BA1" s="26" t="s">
        <v>121</v>
      </c>
      <c r="BC1" s="26" t="s">
        <v>1095</v>
      </c>
      <c r="BE1" s="26" t="s">
        <v>1106</v>
      </c>
      <c r="BG1" s="26" t="s">
        <v>384</v>
      </c>
      <c r="BI1" s="26" t="s">
        <v>858</v>
      </c>
      <c r="BK1" s="26" t="s">
        <v>439</v>
      </c>
      <c r="BM1" s="26" t="s">
        <v>956</v>
      </c>
      <c r="BO1" s="26" t="s">
        <v>1096</v>
      </c>
      <c r="BQ1" s="26" t="s">
        <v>1038</v>
      </c>
      <c r="BS1" s="26" t="s">
        <v>1045</v>
      </c>
      <c r="BU1" s="26" t="s">
        <v>1063</v>
      </c>
      <c r="BW1" s="26" t="s">
        <v>1098</v>
      </c>
      <c r="BY1" s="26" t="s">
        <v>1074</v>
      </c>
      <c r="CA1" s="26" t="s">
        <v>1077</v>
      </c>
      <c r="CC1" s="26" t="s">
        <v>1079</v>
      </c>
      <c r="CE1" s="26" t="s">
        <v>1082</v>
      </c>
      <c r="CG1" s="26" t="s">
        <v>1086</v>
      </c>
      <c r="CI1" s="93" t="s">
        <v>1196</v>
      </c>
      <c r="CK1" s="174" t="s">
        <v>1172</v>
      </c>
      <c r="CL1" s="161" t="s">
        <v>18</v>
      </c>
      <c r="CN1" s="117" t="s">
        <v>1172</v>
      </c>
      <c r="CO1" s="118" t="s">
        <v>18</v>
      </c>
    </row>
    <row r="2" spans="1:93" x14ac:dyDescent="0.3">
      <c r="A2" t="s">
        <v>1091</v>
      </c>
      <c r="B2" t="s">
        <v>47</v>
      </c>
      <c r="C2" t="s">
        <v>48</v>
      </c>
      <c r="D2" t="s">
        <v>49</v>
      </c>
      <c r="E2" t="s">
        <v>48</v>
      </c>
      <c r="G2" t="s">
        <v>1101</v>
      </c>
      <c r="I2" t="s">
        <v>48</v>
      </c>
      <c r="K2" t="s">
        <v>174</v>
      </c>
      <c r="M2" t="s">
        <v>1099</v>
      </c>
      <c r="O2" t="s">
        <v>1038</v>
      </c>
      <c r="Q2" t="s">
        <v>1074</v>
      </c>
      <c r="S2" t="s">
        <v>916</v>
      </c>
      <c r="U2" s="36" t="s">
        <v>49</v>
      </c>
      <c r="W2" s="37" t="s">
        <v>175</v>
      </c>
      <c r="Y2" t="s">
        <v>1107</v>
      </c>
      <c r="AA2" s="37" t="s">
        <v>199</v>
      </c>
      <c r="AC2" s="37" t="s">
        <v>246</v>
      </c>
      <c r="AE2" s="36" t="s">
        <v>365</v>
      </c>
      <c r="AG2" s="37" t="s">
        <v>393</v>
      </c>
      <c r="AI2" s="37" t="s">
        <v>409</v>
      </c>
      <c r="AK2" s="37" t="s">
        <v>446</v>
      </c>
      <c r="AM2" s="36" t="s">
        <v>471</v>
      </c>
      <c r="AO2" s="36" t="s">
        <v>500</v>
      </c>
      <c r="AQ2" s="36" t="s">
        <v>611</v>
      </c>
      <c r="AS2" s="36" t="s">
        <v>641</v>
      </c>
      <c r="AU2" s="37" t="s">
        <v>675</v>
      </c>
      <c r="AW2" s="36" t="s">
        <v>689</v>
      </c>
      <c r="AY2" s="36" t="s">
        <v>718</v>
      </c>
      <c r="BA2" s="37" t="s">
        <v>743</v>
      </c>
      <c r="BC2" s="37" t="s">
        <v>797</v>
      </c>
      <c r="BE2" s="37" t="s">
        <v>64</v>
      </c>
      <c r="BG2" s="37" t="s">
        <v>845</v>
      </c>
      <c r="BI2" s="37" t="s">
        <v>859</v>
      </c>
      <c r="BK2" s="36" t="s">
        <v>933</v>
      </c>
      <c r="BM2" s="36" t="s">
        <v>957</v>
      </c>
      <c r="BO2" s="37" t="s">
        <v>1003</v>
      </c>
      <c r="BQ2" s="37" t="s">
        <v>1038</v>
      </c>
      <c r="BS2" s="36" t="s">
        <v>1046</v>
      </c>
      <c r="BU2" s="37" t="s">
        <v>1064</v>
      </c>
      <c r="BW2" s="36" t="s">
        <v>916</v>
      </c>
      <c r="BY2" s="36" t="s">
        <v>1075</v>
      </c>
      <c r="CA2" s="38" t="s">
        <v>1078</v>
      </c>
      <c r="CC2" s="37" t="s">
        <v>1080</v>
      </c>
      <c r="CE2" s="37" t="s">
        <v>1083</v>
      </c>
      <c r="CG2" s="36" t="s">
        <v>1087</v>
      </c>
      <c r="CI2" t="s">
        <v>1224</v>
      </c>
      <c r="CK2" s="175"/>
      <c r="CL2" s="162"/>
      <c r="CN2" s="104"/>
      <c r="CO2" s="112"/>
    </row>
    <row r="3" spans="1:93" ht="14.4" customHeight="1" x14ac:dyDescent="0.3">
      <c r="C3" t="s">
        <v>174</v>
      </c>
      <c r="D3" t="s">
        <v>50</v>
      </c>
      <c r="E3" t="s">
        <v>48</v>
      </c>
      <c r="G3" t="s">
        <v>1102</v>
      </c>
      <c r="I3" t="s">
        <v>245</v>
      </c>
      <c r="K3" t="s">
        <v>198</v>
      </c>
      <c r="M3" t="s">
        <v>1194</v>
      </c>
      <c r="O3" t="s">
        <v>1045</v>
      </c>
      <c r="Q3" t="s">
        <v>392</v>
      </c>
      <c r="S3" t="s">
        <v>781</v>
      </c>
      <c r="U3" s="37" t="s">
        <v>50</v>
      </c>
      <c r="W3" s="36" t="s">
        <v>176</v>
      </c>
      <c r="AA3" s="36" t="s">
        <v>200</v>
      </c>
      <c r="AC3" s="36" t="s">
        <v>247</v>
      </c>
      <c r="AE3" s="37" t="s">
        <v>366</v>
      </c>
      <c r="AG3" s="36" t="s">
        <v>394</v>
      </c>
      <c r="AI3" s="36" t="s">
        <v>410</v>
      </c>
      <c r="AK3" s="36" t="s">
        <v>447</v>
      </c>
      <c r="AM3" s="37" t="s">
        <v>472</v>
      </c>
      <c r="AO3" s="37" t="s">
        <v>501</v>
      </c>
      <c r="AQ3" s="37" t="s">
        <v>612</v>
      </c>
      <c r="AS3" s="37" t="s">
        <v>642</v>
      </c>
      <c r="AU3" s="36" t="s">
        <v>394</v>
      </c>
      <c r="AW3" s="37" t="s">
        <v>690</v>
      </c>
      <c r="AY3" s="37" t="s">
        <v>719</v>
      </c>
      <c r="BA3" s="36" t="s">
        <v>501</v>
      </c>
      <c r="BC3" s="36" t="s">
        <v>798</v>
      </c>
      <c r="BE3" s="36" t="s">
        <v>254</v>
      </c>
      <c r="BG3" s="36" t="s">
        <v>846</v>
      </c>
      <c r="BI3" s="36" t="s">
        <v>860</v>
      </c>
      <c r="BK3" s="37" t="s">
        <v>254</v>
      </c>
      <c r="BM3" s="37" t="s">
        <v>958</v>
      </c>
      <c r="BO3" s="36" t="s">
        <v>1004</v>
      </c>
      <c r="BQ3" s="36" t="s">
        <v>1039</v>
      </c>
      <c r="BS3" s="37" t="s">
        <v>1047</v>
      </c>
      <c r="BU3" s="36" t="s">
        <v>749</v>
      </c>
      <c r="BW3" s="39" t="s">
        <v>781</v>
      </c>
      <c r="BY3" s="39" t="s">
        <v>1076</v>
      </c>
      <c r="CC3" s="36" t="s">
        <v>206</v>
      </c>
      <c r="CE3" s="36" t="s">
        <v>1084</v>
      </c>
      <c r="CG3" s="37" t="s">
        <v>1088</v>
      </c>
      <c r="CI3" t="s">
        <v>1217</v>
      </c>
      <c r="CK3" s="120" t="s">
        <v>1229</v>
      </c>
      <c r="CL3" s="79">
        <v>10</v>
      </c>
      <c r="CN3" s="105" t="s">
        <v>1173</v>
      </c>
      <c r="CO3" s="113">
        <v>10</v>
      </c>
    </row>
    <row r="4" spans="1:93" x14ac:dyDescent="0.3">
      <c r="C4" t="s">
        <v>1192</v>
      </c>
      <c r="D4" t="s">
        <v>51</v>
      </c>
      <c r="E4" t="s">
        <v>48</v>
      </c>
      <c r="G4" t="s">
        <v>1108</v>
      </c>
      <c r="I4" t="s">
        <v>75</v>
      </c>
      <c r="K4" t="s">
        <v>445</v>
      </c>
      <c r="M4" t="s">
        <v>408</v>
      </c>
      <c r="O4" t="s">
        <v>717</v>
      </c>
      <c r="Q4" t="s">
        <v>1077</v>
      </c>
      <c r="S4" t="s">
        <v>234</v>
      </c>
      <c r="U4" s="36" t="s">
        <v>51</v>
      </c>
      <c r="W4" s="37" t="s">
        <v>177</v>
      </c>
      <c r="AA4" s="37" t="s">
        <v>201</v>
      </c>
      <c r="AC4" s="37" t="s">
        <v>248</v>
      </c>
      <c r="AE4" s="36" t="s">
        <v>367</v>
      </c>
      <c r="AG4" s="37" t="s">
        <v>395</v>
      </c>
      <c r="AI4" s="37" t="s">
        <v>63</v>
      </c>
      <c r="AK4" s="37" t="s">
        <v>448</v>
      </c>
      <c r="AM4" s="36" t="s">
        <v>254</v>
      </c>
      <c r="AO4" s="36" t="s">
        <v>502</v>
      </c>
      <c r="AQ4" s="36" t="s">
        <v>613</v>
      </c>
      <c r="AS4" s="36" t="s">
        <v>643</v>
      </c>
      <c r="AU4" s="37" t="s">
        <v>676</v>
      </c>
      <c r="AW4" s="36" t="s">
        <v>691</v>
      </c>
      <c r="AY4" s="36" t="s">
        <v>720</v>
      </c>
      <c r="BA4" s="37" t="s">
        <v>744</v>
      </c>
      <c r="BC4" s="37" t="s">
        <v>799</v>
      </c>
      <c r="BE4" s="37" t="s">
        <v>836</v>
      </c>
      <c r="BG4" s="37" t="s">
        <v>411</v>
      </c>
      <c r="BI4" s="37" t="s">
        <v>394</v>
      </c>
      <c r="BK4" s="36" t="s">
        <v>934</v>
      </c>
      <c r="BM4" s="36" t="s">
        <v>959</v>
      </c>
      <c r="BO4" s="37" t="s">
        <v>1005</v>
      </c>
      <c r="BQ4" s="37" t="s">
        <v>1040</v>
      </c>
      <c r="BS4" s="36" t="s">
        <v>1048</v>
      </c>
      <c r="BU4" s="37" t="s">
        <v>1065</v>
      </c>
      <c r="CC4" s="37" t="s">
        <v>1081</v>
      </c>
      <c r="CE4" s="39" t="s">
        <v>1085</v>
      </c>
      <c r="CG4" s="36" t="s">
        <v>1089</v>
      </c>
      <c r="CI4" t="s">
        <v>1218</v>
      </c>
      <c r="CK4" s="121" t="s">
        <v>1174</v>
      </c>
      <c r="CL4" s="122">
        <v>9</v>
      </c>
      <c r="CN4" s="106"/>
      <c r="CO4" s="113"/>
    </row>
    <row r="5" spans="1:93" x14ac:dyDescent="0.3">
      <c r="C5" t="s">
        <v>198</v>
      </c>
      <c r="D5" t="s">
        <v>52</v>
      </c>
      <c r="E5" t="s">
        <v>48</v>
      </c>
      <c r="G5" t="s">
        <v>1103</v>
      </c>
      <c r="I5" t="s">
        <v>499</v>
      </c>
      <c r="K5" t="s">
        <v>209</v>
      </c>
      <c r="M5" t="s">
        <v>121</v>
      </c>
      <c r="O5" t="s">
        <v>1086</v>
      </c>
      <c r="Q5" t="s">
        <v>1079</v>
      </c>
      <c r="U5" s="37" t="s">
        <v>52</v>
      </c>
      <c r="W5" s="36" t="s">
        <v>178</v>
      </c>
      <c r="AA5" s="36" t="s">
        <v>202</v>
      </c>
      <c r="AC5" s="36" t="s">
        <v>249</v>
      </c>
      <c r="AE5" s="37" t="s">
        <v>368</v>
      </c>
      <c r="AG5" s="36" t="s">
        <v>396</v>
      </c>
      <c r="AI5" s="36" t="s">
        <v>411</v>
      </c>
      <c r="AK5" s="36" t="s">
        <v>449</v>
      </c>
      <c r="AM5" s="37" t="s">
        <v>473</v>
      </c>
      <c r="AO5" s="37" t="s">
        <v>503</v>
      </c>
      <c r="AQ5" s="37" t="s">
        <v>614</v>
      </c>
      <c r="AS5" s="37" t="s">
        <v>644</v>
      </c>
      <c r="AU5" s="36" t="s">
        <v>677</v>
      </c>
      <c r="AW5" s="37" t="s">
        <v>692</v>
      </c>
      <c r="AY5" s="37" t="s">
        <v>721</v>
      </c>
      <c r="BA5" s="36" t="s">
        <v>745</v>
      </c>
      <c r="BC5" s="36" t="s">
        <v>800</v>
      </c>
      <c r="BE5" s="36" t="s">
        <v>837</v>
      </c>
      <c r="BG5" s="36" t="s">
        <v>847</v>
      </c>
      <c r="BI5" s="36" t="s">
        <v>861</v>
      </c>
      <c r="BK5" s="37" t="s">
        <v>935</v>
      </c>
      <c r="BM5" s="37" t="s">
        <v>960</v>
      </c>
      <c r="BO5" s="36" t="s">
        <v>1006</v>
      </c>
      <c r="BQ5" s="36" t="s">
        <v>1041</v>
      </c>
      <c r="BS5" s="37" t="s">
        <v>1049</v>
      </c>
      <c r="BU5" s="36" t="s">
        <v>1066</v>
      </c>
      <c r="CC5" s="38" t="s">
        <v>295</v>
      </c>
      <c r="CG5" s="39" t="s">
        <v>1090</v>
      </c>
      <c r="CI5" t="s">
        <v>1219</v>
      </c>
      <c r="CK5" s="121" t="s">
        <v>1176</v>
      </c>
      <c r="CL5" s="123">
        <v>8</v>
      </c>
      <c r="CN5" s="107">
        <v>120</v>
      </c>
      <c r="CO5" s="113"/>
    </row>
    <row r="6" spans="1:93" ht="28.8" x14ac:dyDescent="0.3">
      <c r="C6" t="s">
        <v>245</v>
      </c>
      <c r="D6" t="s">
        <v>53</v>
      </c>
      <c r="E6" t="s">
        <v>48</v>
      </c>
      <c r="G6" t="s">
        <v>1109</v>
      </c>
      <c r="I6" t="s">
        <v>640</v>
      </c>
      <c r="K6" t="s">
        <v>1195</v>
      </c>
      <c r="Q6" t="s">
        <v>1063</v>
      </c>
      <c r="U6" s="36" t="s">
        <v>53</v>
      </c>
      <c r="W6" s="37" t="s">
        <v>179</v>
      </c>
      <c r="AA6" s="37" t="s">
        <v>203</v>
      </c>
      <c r="AC6" s="37" t="s">
        <v>250</v>
      </c>
      <c r="AE6" s="36" t="s">
        <v>369</v>
      </c>
      <c r="AG6" s="37" t="s">
        <v>397</v>
      </c>
      <c r="AI6" s="37" t="s">
        <v>198</v>
      </c>
      <c r="AK6" s="37" t="s">
        <v>450</v>
      </c>
      <c r="AM6" s="36" t="s">
        <v>474</v>
      </c>
      <c r="AO6" s="36" t="s">
        <v>504</v>
      </c>
      <c r="AQ6" s="36" t="s">
        <v>615</v>
      </c>
      <c r="AS6" s="36" t="s">
        <v>645</v>
      </c>
      <c r="AU6" s="37" t="s">
        <v>678</v>
      </c>
      <c r="AW6" s="36" t="s">
        <v>693</v>
      </c>
      <c r="AY6" s="36" t="s">
        <v>722</v>
      </c>
      <c r="BA6" s="37" t="s">
        <v>746</v>
      </c>
      <c r="BC6" s="37" t="s">
        <v>801</v>
      </c>
      <c r="BE6" s="37" t="s">
        <v>209</v>
      </c>
      <c r="BG6" s="37" t="s">
        <v>848</v>
      </c>
      <c r="BI6" s="37" t="s">
        <v>65</v>
      </c>
      <c r="BK6" s="36" t="s">
        <v>936</v>
      </c>
      <c r="BM6" s="36" t="s">
        <v>961</v>
      </c>
      <c r="BO6" s="37" t="s">
        <v>63</v>
      </c>
      <c r="BQ6" s="37" t="s">
        <v>1042</v>
      </c>
      <c r="BS6" s="36" t="s">
        <v>1050</v>
      </c>
      <c r="BU6" s="37" t="s">
        <v>1067</v>
      </c>
      <c r="CI6" t="s">
        <v>1220</v>
      </c>
      <c r="CK6" s="121" t="s">
        <v>1178</v>
      </c>
      <c r="CL6" s="123">
        <v>7</v>
      </c>
      <c r="CN6" s="108" t="s">
        <v>1174</v>
      </c>
      <c r="CO6" s="114">
        <v>9</v>
      </c>
    </row>
    <row r="7" spans="1:93" ht="28.8" x14ac:dyDescent="0.3">
      <c r="C7" t="s">
        <v>75</v>
      </c>
      <c r="D7" t="s">
        <v>54</v>
      </c>
      <c r="E7" t="s">
        <v>48</v>
      </c>
      <c r="G7" t="s">
        <v>1104</v>
      </c>
      <c r="I7" t="s">
        <v>1193</v>
      </c>
      <c r="K7" t="s">
        <v>688</v>
      </c>
      <c r="Q7" t="s">
        <v>1082</v>
      </c>
      <c r="U7" s="37" t="s">
        <v>54</v>
      </c>
      <c r="W7" s="36" t="s">
        <v>180</v>
      </c>
      <c r="AA7" s="36" t="s">
        <v>204</v>
      </c>
      <c r="AC7" s="36" t="s">
        <v>251</v>
      </c>
      <c r="AE7" s="37" t="s">
        <v>370</v>
      </c>
      <c r="AG7" s="36" t="s">
        <v>398</v>
      </c>
      <c r="AI7" s="36" t="s">
        <v>412</v>
      </c>
      <c r="AK7" s="36" t="s">
        <v>451</v>
      </c>
      <c r="AM7" s="37" t="s">
        <v>475</v>
      </c>
      <c r="AO7" s="37" t="s">
        <v>505</v>
      </c>
      <c r="AQ7" s="37" t="s">
        <v>616</v>
      </c>
      <c r="AS7" s="37" t="s">
        <v>646</v>
      </c>
      <c r="AU7" s="36" t="s">
        <v>679</v>
      </c>
      <c r="AW7" s="37" t="s">
        <v>694</v>
      </c>
      <c r="AY7" s="37" t="s">
        <v>723</v>
      </c>
      <c r="BA7" s="36" t="s">
        <v>747</v>
      </c>
      <c r="BC7" s="36" t="s">
        <v>802</v>
      </c>
      <c r="BE7" s="36" t="s">
        <v>838</v>
      </c>
      <c r="BG7" s="36" t="s">
        <v>849</v>
      </c>
      <c r="BI7" s="36" t="s">
        <v>862</v>
      </c>
      <c r="BK7" s="37" t="s">
        <v>937</v>
      </c>
      <c r="BM7" s="37" t="s">
        <v>962</v>
      </c>
      <c r="BO7" s="36" t="s">
        <v>198</v>
      </c>
      <c r="BQ7" s="36" t="s">
        <v>1043</v>
      </c>
      <c r="BS7" s="37" t="s">
        <v>1051</v>
      </c>
      <c r="BU7" s="36" t="s">
        <v>1068</v>
      </c>
      <c r="CI7" t="s">
        <v>1221</v>
      </c>
      <c r="CK7" s="121" t="s">
        <v>1180</v>
      </c>
      <c r="CL7" s="123">
        <v>6</v>
      </c>
      <c r="CN7" s="109" t="s">
        <v>1175</v>
      </c>
      <c r="CO7" s="115"/>
    </row>
    <row r="8" spans="1:93" ht="28.8" x14ac:dyDescent="0.3">
      <c r="C8" s="87" t="s">
        <v>392</v>
      </c>
      <c r="D8" t="s">
        <v>55</v>
      </c>
      <c r="E8" t="s">
        <v>48</v>
      </c>
      <c r="I8" t="s">
        <v>1106</v>
      </c>
      <c r="K8" t="s">
        <v>439</v>
      </c>
      <c r="U8" s="36" t="s">
        <v>55</v>
      </c>
      <c r="W8" s="37" t="s">
        <v>181</v>
      </c>
      <c r="AA8" s="37" t="s">
        <v>205</v>
      </c>
      <c r="AC8" s="37" t="s">
        <v>252</v>
      </c>
      <c r="AE8" s="36" t="s">
        <v>371</v>
      </c>
      <c r="AG8" s="37" t="s">
        <v>399</v>
      </c>
      <c r="AI8" s="37" t="s">
        <v>413</v>
      </c>
      <c r="AK8" s="37" t="s">
        <v>452</v>
      </c>
      <c r="AM8" s="36" t="s">
        <v>476</v>
      </c>
      <c r="AO8" s="36" t="s">
        <v>506</v>
      </c>
      <c r="AQ8" s="36" t="s">
        <v>617</v>
      </c>
      <c r="AS8" s="36" t="s">
        <v>647</v>
      </c>
      <c r="AU8" s="37" t="s">
        <v>680</v>
      </c>
      <c r="AW8" s="36" t="s">
        <v>695</v>
      </c>
      <c r="AY8" s="36" t="s">
        <v>724</v>
      </c>
      <c r="BA8" s="37" t="s">
        <v>250</v>
      </c>
      <c r="BC8" s="37" t="s">
        <v>803</v>
      </c>
      <c r="BE8" s="37" t="s">
        <v>839</v>
      </c>
      <c r="BG8" s="37" t="s">
        <v>850</v>
      </c>
      <c r="BI8" s="37" t="s">
        <v>863</v>
      </c>
      <c r="BK8" s="36" t="s">
        <v>938</v>
      </c>
      <c r="BM8" s="36" t="s">
        <v>963</v>
      </c>
      <c r="BO8" s="37" t="s">
        <v>1007</v>
      </c>
      <c r="BQ8" s="39" t="s">
        <v>1044</v>
      </c>
      <c r="BS8" s="36" t="s">
        <v>1052</v>
      </c>
      <c r="BU8" s="37" t="s">
        <v>1069</v>
      </c>
      <c r="CI8" t="s">
        <v>1222</v>
      </c>
      <c r="CK8" s="121" t="s">
        <v>1182</v>
      </c>
      <c r="CL8" s="123">
        <v>5</v>
      </c>
      <c r="CN8" s="108" t="s">
        <v>1176</v>
      </c>
      <c r="CO8" s="116">
        <v>8</v>
      </c>
    </row>
    <row r="9" spans="1:93" ht="28.8" x14ac:dyDescent="0.3">
      <c r="C9" t="s">
        <v>408</v>
      </c>
      <c r="D9" t="s">
        <v>56</v>
      </c>
      <c r="E9" t="s">
        <v>48</v>
      </c>
      <c r="I9" t="s">
        <v>384</v>
      </c>
      <c r="O9" s="41"/>
      <c r="U9" s="37" t="s">
        <v>56</v>
      </c>
      <c r="W9" s="36" t="s">
        <v>182</v>
      </c>
      <c r="AA9" s="36" t="s">
        <v>206</v>
      </c>
      <c r="AC9" s="36" t="s">
        <v>253</v>
      </c>
      <c r="AE9" s="37" t="s">
        <v>372</v>
      </c>
      <c r="AG9" s="36" t="s">
        <v>400</v>
      </c>
      <c r="AI9" s="36" t="s">
        <v>414</v>
      </c>
      <c r="AK9" s="36" t="s">
        <v>453</v>
      </c>
      <c r="AM9" s="37" t="s">
        <v>477</v>
      </c>
      <c r="AO9" s="37" t="s">
        <v>507</v>
      </c>
      <c r="AQ9" s="37" t="s">
        <v>618</v>
      </c>
      <c r="AS9" s="37" t="s">
        <v>648</v>
      </c>
      <c r="AU9" s="36" t="s">
        <v>681</v>
      </c>
      <c r="AW9" s="37" t="s">
        <v>88</v>
      </c>
      <c r="AY9" s="37" t="s">
        <v>725</v>
      </c>
      <c r="BA9" s="36" t="s">
        <v>748</v>
      </c>
      <c r="BC9" s="36" t="s">
        <v>804</v>
      </c>
      <c r="BE9" s="36" t="s">
        <v>840</v>
      </c>
      <c r="BG9" s="36" t="s">
        <v>851</v>
      </c>
      <c r="BI9" s="36" t="s">
        <v>69</v>
      </c>
      <c r="BK9" s="37" t="s">
        <v>939</v>
      </c>
      <c r="BM9" s="37" t="s">
        <v>964</v>
      </c>
      <c r="BO9" s="36" t="s">
        <v>1008</v>
      </c>
      <c r="BS9" s="37" t="s">
        <v>1053</v>
      </c>
      <c r="BU9" s="36" t="s">
        <v>1070</v>
      </c>
      <c r="CI9" t="s">
        <v>1225</v>
      </c>
      <c r="CK9" s="121" t="s">
        <v>1184</v>
      </c>
      <c r="CL9" s="123">
        <v>4</v>
      </c>
      <c r="CN9" s="110" t="s">
        <v>1177</v>
      </c>
      <c r="CO9" s="115"/>
    </row>
    <row r="10" spans="1:93" ht="28.8" x14ac:dyDescent="0.3">
      <c r="C10" t="s">
        <v>445</v>
      </c>
      <c r="D10" t="s">
        <v>57</v>
      </c>
      <c r="E10" t="s">
        <v>48</v>
      </c>
      <c r="I10" t="s">
        <v>858</v>
      </c>
      <c r="U10" s="36" t="s">
        <v>57</v>
      </c>
      <c r="W10" s="37" t="s">
        <v>183</v>
      </c>
      <c r="AA10" s="37" t="s">
        <v>207</v>
      </c>
      <c r="AC10" s="37" t="s">
        <v>245</v>
      </c>
      <c r="AE10" s="36" t="s">
        <v>373</v>
      </c>
      <c r="AG10" s="37" t="s">
        <v>401</v>
      </c>
      <c r="AI10" s="37" t="s">
        <v>415</v>
      </c>
      <c r="AK10" s="37" t="s">
        <v>454</v>
      </c>
      <c r="AM10" s="36" t="s">
        <v>478</v>
      </c>
      <c r="AO10" s="36" t="s">
        <v>508</v>
      </c>
      <c r="AQ10" s="36" t="s">
        <v>619</v>
      </c>
      <c r="AS10" s="36" t="s">
        <v>47</v>
      </c>
      <c r="AU10" s="37" t="s">
        <v>682</v>
      </c>
      <c r="AW10" s="36" t="s">
        <v>696</v>
      </c>
      <c r="AY10" s="36" t="s">
        <v>726</v>
      </c>
      <c r="BA10" s="37" t="s">
        <v>749</v>
      </c>
      <c r="BC10" s="37" t="s">
        <v>805</v>
      </c>
      <c r="BE10" s="37" t="s">
        <v>841</v>
      </c>
      <c r="BG10" s="37" t="s">
        <v>852</v>
      </c>
      <c r="BI10" s="37" t="s">
        <v>198</v>
      </c>
      <c r="BK10" s="36" t="s">
        <v>940</v>
      </c>
      <c r="BM10" s="36" t="s">
        <v>965</v>
      </c>
      <c r="BO10" s="37" t="s">
        <v>1009</v>
      </c>
      <c r="BS10" s="36" t="s">
        <v>1054</v>
      </c>
      <c r="BU10" s="37" t="s">
        <v>139</v>
      </c>
      <c r="CI10" t="s">
        <v>1223</v>
      </c>
      <c r="CK10" s="121" t="s">
        <v>1186</v>
      </c>
      <c r="CL10" s="123">
        <v>3</v>
      </c>
      <c r="CN10" s="108" t="s">
        <v>1178</v>
      </c>
      <c r="CO10" s="116">
        <v>7</v>
      </c>
    </row>
    <row r="11" spans="1:93" ht="28.8" x14ac:dyDescent="0.3">
      <c r="C11" s="87" t="s">
        <v>209</v>
      </c>
      <c r="D11" t="s">
        <v>58</v>
      </c>
      <c r="E11" t="s">
        <v>48</v>
      </c>
      <c r="I11" t="s">
        <v>956</v>
      </c>
      <c r="M11" s="41"/>
      <c r="U11" s="37" t="s">
        <v>58</v>
      </c>
      <c r="W11" s="36" t="s">
        <v>184</v>
      </c>
      <c r="AA11" s="36" t="s">
        <v>208</v>
      </c>
      <c r="AC11" s="36" t="s">
        <v>71</v>
      </c>
      <c r="AE11" s="37" t="s">
        <v>374</v>
      </c>
      <c r="AG11" s="36" t="s">
        <v>402</v>
      </c>
      <c r="AI11" s="36" t="s">
        <v>416</v>
      </c>
      <c r="AK11" s="36" t="s">
        <v>455</v>
      </c>
      <c r="AM11" s="37" t="s">
        <v>479</v>
      </c>
      <c r="AO11" s="37" t="s">
        <v>509</v>
      </c>
      <c r="AQ11" s="37" t="s">
        <v>620</v>
      </c>
      <c r="AS11" s="37" t="s">
        <v>649</v>
      </c>
      <c r="AU11" s="36" t="s">
        <v>683</v>
      </c>
      <c r="AW11" s="37" t="s">
        <v>697</v>
      </c>
      <c r="AY11" s="37" t="s">
        <v>727</v>
      </c>
      <c r="BA11" s="36" t="s">
        <v>750</v>
      </c>
      <c r="BC11" s="36" t="s">
        <v>806</v>
      </c>
      <c r="BE11" s="36" t="s">
        <v>842</v>
      </c>
      <c r="BG11" s="36" t="s">
        <v>853</v>
      </c>
      <c r="BI11" s="36" t="s">
        <v>508</v>
      </c>
      <c r="BK11" s="37" t="s">
        <v>941</v>
      </c>
      <c r="BM11" s="37" t="s">
        <v>966</v>
      </c>
      <c r="BO11" s="36" t="s">
        <v>1010</v>
      </c>
      <c r="BS11" s="37" t="s">
        <v>1055</v>
      </c>
      <c r="BU11" s="36" t="s">
        <v>921</v>
      </c>
      <c r="CI11" t="s">
        <v>1226</v>
      </c>
      <c r="CK11" s="121" t="s">
        <v>1188</v>
      </c>
      <c r="CL11" s="123">
        <v>2</v>
      </c>
      <c r="CN11" s="110" t="s">
        <v>1179</v>
      </c>
      <c r="CO11" s="115"/>
    </row>
    <row r="12" spans="1:93" ht="28.8" x14ac:dyDescent="0.3">
      <c r="C12" t="s">
        <v>499</v>
      </c>
      <c r="D12" t="s">
        <v>59</v>
      </c>
      <c r="E12" t="s">
        <v>48</v>
      </c>
      <c r="U12" s="36" t="s">
        <v>59</v>
      </c>
      <c r="W12" s="37" t="s">
        <v>185</v>
      </c>
      <c r="AA12" s="37" t="s">
        <v>209</v>
      </c>
      <c r="AC12" s="37" t="s">
        <v>254</v>
      </c>
      <c r="AE12" s="36" t="s">
        <v>375</v>
      </c>
      <c r="AG12" s="37" t="s">
        <v>403</v>
      </c>
      <c r="AI12" s="37" t="s">
        <v>417</v>
      </c>
      <c r="AK12" s="37" t="s">
        <v>456</v>
      </c>
      <c r="AM12" s="36" t="s">
        <v>480</v>
      </c>
      <c r="AO12" s="36" t="s">
        <v>510</v>
      </c>
      <c r="AQ12" s="36" t="s">
        <v>621</v>
      </c>
      <c r="AS12" s="36" t="s">
        <v>650</v>
      </c>
      <c r="AU12" s="37" t="s">
        <v>684</v>
      </c>
      <c r="AW12" s="36" t="s">
        <v>698</v>
      </c>
      <c r="AY12" s="36" t="s">
        <v>728</v>
      </c>
      <c r="BA12" s="37" t="s">
        <v>751</v>
      </c>
      <c r="BC12" s="37" t="s">
        <v>807</v>
      </c>
      <c r="BE12" s="37" t="s">
        <v>843</v>
      </c>
      <c r="BG12" s="37" t="s">
        <v>854</v>
      </c>
      <c r="BI12" s="37" t="s">
        <v>864</v>
      </c>
      <c r="BK12" s="36" t="s">
        <v>114</v>
      </c>
      <c r="BM12" s="36" t="s">
        <v>967</v>
      </c>
      <c r="BO12" s="37" t="s">
        <v>1011</v>
      </c>
      <c r="BS12" s="36" t="s">
        <v>1056</v>
      </c>
      <c r="BU12" s="37" t="s">
        <v>828</v>
      </c>
      <c r="CK12" s="66" t="s">
        <v>1190</v>
      </c>
      <c r="CL12" s="79">
        <v>1</v>
      </c>
      <c r="CN12" s="108" t="s">
        <v>1180</v>
      </c>
      <c r="CO12" s="116">
        <v>6</v>
      </c>
    </row>
    <row r="13" spans="1:93" ht="28.8" x14ac:dyDescent="0.3">
      <c r="C13" s="87" t="s">
        <v>610</v>
      </c>
      <c r="D13" t="s">
        <v>60</v>
      </c>
      <c r="E13" t="s">
        <v>48</v>
      </c>
      <c r="I13" s="41"/>
      <c r="K13" s="41"/>
      <c r="U13" s="37" t="s">
        <v>60</v>
      </c>
      <c r="W13" s="36" t="s">
        <v>186</v>
      </c>
      <c r="AA13" s="36" t="s">
        <v>210</v>
      </c>
      <c r="AC13" s="36" t="s">
        <v>255</v>
      </c>
      <c r="AE13" s="37" t="s">
        <v>376</v>
      </c>
      <c r="AG13" s="36" t="s">
        <v>404</v>
      </c>
      <c r="AI13" s="36" t="s">
        <v>393</v>
      </c>
      <c r="AK13" s="36" t="s">
        <v>457</v>
      </c>
      <c r="AM13" s="37" t="s">
        <v>481</v>
      </c>
      <c r="AO13" s="37" t="s">
        <v>511</v>
      </c>
      <c r="AQ13" s="37" t="s">
        <v>622</v>
      </c>
      <c r="AS13" s="37" t="s">
        <v>651</v>
      </c>
      <c r="AU13" s="36" t="s">
        <v>685</v>
      </c>
      <c r="AW13" s="37" t="s">
        <v>699</v>
      </c>
      <c r="AY13" s="37" t="s">
        <v>101</v>
      </c>
      <c r="BA13" s="36" t="s">
        <v>209</v>
      </c>
      <c r="BC13" s="36" t="s">
        <v>808</v>
      </c>
      <c r="BE13" s="38" t="s">
        <v>844</v>
      </c>
      <c r="BG13" s="36" t="s">
        <v>855</v>
      </c>
      <c r="BI13" s="36" t="s">
        <v>865</v>
      </c>
      <c r="BK13" s="37" t="s">
        <v>942</v>
      </c>
      <c r="BM13" s="37" t="s">
        <v>968</v>
      </c>
      <c r="BO13" s="36" t="s">
        <v>178</v>
      </c>
      <c r="BS13" s="37" t="s">
        <v>1057</v>
      </c>
      <c r="BU13" s="36" t="s">
        <v>1071</v>
      </c>
      <c r="CN13" s="110" t="s">
        <v>1181</v>
      </c>
      <c r="CO13" s="115"/>
    </row>
    <row r="14" spans="1:93" ht="28.8" x14ac:dyDescent="0.3">
      <c r="C14" t="s">
        <v>640</v>
      </c>
      <c r="D14" t="s">
        <v>61</v>
      </c>
      <c r="E14" t="s">
        <v>48</v>
      </c>
      <c r="U14" s="36" t="s">
        <v>61</v>
      </c>
      <c r="W14" s="37" t="s">
        <v>187</v>
      </c>
      <c r="AA14" s="37" t="s">
        <v>211</v>
      </c>
      <c r="AC14" s="37" t="s">
        <v>75</v>
      </c>
      <c r="AE14" s="36" t="s">
        <v>377</v>
      </c>
      <c r="AG14" s="37" t="s">
        <v>405</v>
      </c>
      <c r="AI14" s="37" t="s">
        <v>418</v>
      </c>
      <c r="AK14" s="37" t="s">
        <v>458</v>
      </c>
      <c r="AM14" s="36" t="s">
        <v>482</v>
      </c>
      <c r="AO14" s="36" t="s">
        <v>512</v>
      </c>
      <c r="AQ14" s="36" t="s">
        <v>623</v>
      </c>
      <c r="AS14" s="36" t="s">
        <v>102</v>
      </c>
      <c r="AU14" s="37" t="s">
        <v>686</v>
      </c>
      <c r="AW14" s="36" t="s">
        <v>700</v>
      </c>
      <c r="AY14" s="36" t="s">
        <v>700</v>
      </c>
      <c r="BA14" s="37" t="s">
        <v>752</v>
      </c>
      <c r="BC14" s="37" t="s">
        <v>809</v>
      </c>
      <c r="BG14" s="37" t="s">
        <v>856</v>
      </c>
      <c r="BI14" s="37" t="s">
        <v>866</v>
      </c>
      <c r="BK14" s="36" t="s">
        <v>943</v>
      </c>
      <c r="BM14" s="36" t="s">
        <v>969</v>
      </c>
      <c r="BO14" s="37" t="s">
        <v>1012</v>
      </c>
      <c r="BS14" s="36" t="s">
        <v>134</v>
      </c>
      <c r="BU14" s="39" t="s">
        <v>1072</v>
      </c>
      <c r="CN14" s="108" t="s">
        <v>1182</v>
      </c>
      <c r="CO14" s="116">
        <v>5</v>
      </c>
    </row>
    <row r="15" spans="1:93" ht="28.8" x14ac:dyDescent="0.3">
      <c r="C15" s="87" t="s">
        <v>1195</v>
      </c>
      <c r="D15" t="s">
        <v>62</v>
      </c>
      <c r="E15" t="s">
        <v>48</v>
      </c>
      <c r="U15" s="37" t="s">
        <v>62</v>
      </c>
      <c r="W15" s="36" t="s">
        <v>188</v>
      </c>
      <c r="AA15" s="36" t="s">
        <v>212</v>
      </c>
      <c r="AC15" s="36" t="s">
        <v>256</v>
      </c>
      <c r="AE15" s="37" t="s">
        <v>378</v>
      </c>
      <c r="AG15" s="36" t="s">
        <v>406</v>
      </c>
      <c r="AI15" s="36" t="s">
        <v>419</v>
      </c>
      <c r="AK15" s="36" t="s">
        <v>459</v>
      </c>
      <c r="AM15" s="37" t="s">
        <v>483</v>
      </c>
      <c r="AO15" s="37" t="s">
        <v>513</v>
      </c>
      <c r="AQ15" s="37" t="s">
        <v>624</v>
      </c>
      <c r="AS15" s="37" t="s">
        <v>652</v>
      </c>
      <c r="AU15" s="36" t="s">
        <v>687</v>
      </c>
      <c r="AW15" s="37" t="s">
        <v>701</v>
      </c>
      <c r="AY15" s="37" t="s">
        <v>729</v>
      </c>
      <c r="BA15" s="36" t="s">
        <v>753</v>
      </c>
      <c r="BC15" s="36" t="s">
        <v>810</v>
      </c>
      <c r="BG15" s="38" t="s">
        <v>857</v>
      </c>
      <c r="BI15" s="36" t="s">
        <v>867</v>
      </c>
      <c r="BK15" s="37" t="s">
        <v>944</v>
      </c>
      <c r="BM15" s="37" t="s">
        <v>970</v>
      </c>
      <c r="BO15" s="36" t="s">
        <v>1013</v>
      </c>
      <c r="BS15" s="37" t="s">
        <v>1058</v>
      </c>
      <c r="CN15" s="110" t="s">
        <v>1183</v>
      </c>
      <c r="CO15" s="115"/>
    </row>
    <row r="16" spans="1:93" ht="28.8" x14ac:dyDescent="0.3">
      <c r="C16" t="s">
        <v>688</v>
      </c>
      <c r="D16" t="s">
        <v>63</v>
      </c>
      <c r="E16" t="s">
        <v>48</v>
      </c>
      <c r="U16" s="36" t="s">
        <v>63</v>
      </c>
      <c r="W16" s="37" t="s">
        <v>189</v>
      </c>
      <c r="AA16" s="37" t="s">
        <v>213</v>
      </c>
      <c r="AC16" s="37" t="s">
        <v>257</v>
      </c>
      <c r="AE16" s="36" t="s">
        <v>379</v>
      </c>
      <c r="AG16" s="37" t="s">
        <v>407</v>
      </c>
      <c r="AI16" s="37" t="s">
        <v>420</v>
      </c>
      <c r="AK16" s="37" t="s">
        <v>460</v>
      </c>
      <c r="AM16" s="36" t="s">
        <v>484</v>
      </c>
      <c r="AO16" s="36" t="s">
        <v>514</v>
      </c>
      <c r="AQ16" s="36" t="s">
        <v>625</v>
      </c>
      <c r="AS16" s="36" t="s">
        <v>653</v>
      </c>
      <c r="AU16" s="39" t="s">
        <v>243</v>
      </c>
      <c r="AW16" s="36" t="s">
        <v>702</v>
      </c>
      <c r="AY16" s="36" t="s">
        <v>730</v>
      </c>
      <c r="BA16" s="37" t="s">
        <v>754</v>
      </c>
      <c r="BC16" s="37" t="s">
        <v>811</v>
      </c>
      <c r="BI16" s="37" t="s">
        <v>868</v>
      </c>
      <c r="BK16" s="36" t="s">
        <v>945</v>
      </c>
      <c r="BM16" s="36" t="s">
        <v>971</v>
      </c>
      <c r="BO16" s="37" t="s">
        <v>1014</v>
      </c>
      <c r="BS16" s="36" t="s">
        <v>1059</v>
      </c>
      <c r="CN16" s="108" t="s">
        <v>1184</v>
      </c>
      <c r="CO16" s="116">
        <v>4</v>
      </c>
    </row>
    <row r="17" spans="3:93" ht="28.8" x14ac:dyDescent="0.3">
      <c r="C17" t="s">
        <v>717</v>
      </c>
      <c r="D17" t="s">
        <v>64</v>
      </c>
      <c r="E17" t="s">
        <v>48</v>
      </c>
      <c r="U17" s="37" t="s">
        <v>64</v>
      </c>
      <c r="W17" s="36" t="s">
        <v>190</v>
      </c>
      <c r="AA17" s="36" t="s">
        <v>214</v>
      </c>
      <c r="AC17" s="36" t="s">
        <v>258</v>
      </c>
      <c r="AE17" s="37" t="s">
        <v>380</v>
      </c>
      <c r="AG17" s="38" t="s">
        <v>165</v>
      </c>
      <c r="AI17" s="36" t="s">
        <v>421</v>
      </c>
      <c r="AK17" s="36" t="s">
        <v>461</v>
      </c>
      <c r="AM17" s="37" t="s">
        <v>485</v>
      </c>
      <c r="AO17" s="37" t="s">
        <v>515</v>
      </c>
      <c r="AQ17" s="37" t="s">
        <v>626</v>
      </c>
      <c r="AS17" s="37" t="s">
        <v>654</v>
      </c>
      <c r="AW17" s="37" t="s">
        <v>703</v>
      </c>
      <c r="AY17" s="37" t="s">
        <v>731</v>
      </c>
      <c r="BA17" s="36" t="s">
        <v>755</v>
      </c>
      <c r="BC17" s="36" t="s">
        <v>812</v>
      </c>
      <c r="BI17" s="36" t="s">
        <v>869</v>
      </c>
      <c r="BK17" s="37" t="s">
        <v>946</v>
      </c>
      <c r="BM17" s="37" t="s">
        <v>972</v>
      </c>
      <c r="BO17" s="36" t="s">
        <v>1015</v>
      </c>
      <c r="BS17" s="37" t="s">
        <v>1060</v>
      </c>
      <c r="CN17" s="110" t="s">
        <v>1185</v>
      </c>
      <c r="CO17" s="115"/>
    </row>
    <row r="18" spans="3:93" ht="28.8" x14ac:dyDescent="0.3">
      <c r="C18" t="s">
        <v>121</v>
      </c>
      <c r="D18" t="s">
        <v>65</v>
      </c>
      <c r="E18" t="s">
        <v>48</v>
      </c>
      <c r="U18" s="36" t="s">
        <v>65</v>
      </c>
      <c r="W18" s="37" t="s">
        <v>134</v>
      </c>
      <c r="AA18" s="37" t="s">
        <v>215</v>
      </c>
      <c r="AC18" s="37" t="s">
        <v>259</v>
      </c>
      <c r="AE18" s="36" t="s">
        <v>381</v>
      </c>
      <c r="AI18" s="37" t="s">
        <v>422</v>
      </c>
      <c r="AK18" s="37" t="s">
        <v>462</v>
      </c>
      <c r="AM18" s="36" t="s">
        <v>486</v>
      </c>
      <c r="AO18" s="36" t="s">
        <v>516</v>
      </c>
      <c r="AQ18" s="36" t="s">
        <v>627</v>
      </c>
      <c r="AS18" s="36" t="s">
        <v>655</v>
      </c>
      <c r="AW18" s="36" t="s">
        <v>704</v>
      </c>
      <c r="AY18" s="36" t="s">
        <v>732</v>
      </c>
      <c r="BA18" s="37" t="s">
        <v>756</v>
      </c>
      <c r="BC18" s="37" t="s">
        <v>813</v>
      </c>
      <c r="BI18" s="37" t="s">
        <v>870</v>
      </c>
      <c r="BK18" s="36" t="s">
        <v>947</v>
      </c>
      <c r="BM18" s="36" t="s">
        <v>973</v>
      </c>
      <c r="BO18" s="37" t="s">
        <v>1016</v>
      </c>
      <c r="BS18" s="36" t="s">
        <v>1061</v>
      </c>
      <c r="CN18" s="108" t="s">
        <v>1186</v>
      </c>
      <c r="CO18" s="116">
        <v>3</v>
      </c>
    </row>
    <row r="19" spans="3:93" ht="28.8" x14ac:dyDescent="0.3">
      <c r="C19" s="87" t="s">
        <v>1193</v>
      </c>
      <c r="D19" t="s">
        <v>66</v>
      </c>
      <c r="E19" t="s">
        <v>48</v>
      </c>
      <c r="U19" s="37" t="s">
        <v>66</v>
      </c>
      <c r="W19" s="36" t="s">
        <v>191</v>
      </c>
      <c r="AA19" s="36" t="s">
        <v>216</v>
      </c>
      <c r="AC19" s="36" t="s">
        <v>260</v>
      </c>
      <c r="AE19" s="37" t="s">
        <v>382</v>
      </c>
      <c r="AI19" s="36" t="s">
        <v>423</v>
      </c>
      <c r="AK19" s="36" t="s">
        <v>463</v>
      </c>
      <c r="AM19" s="37" t="s">
        <v>487</v>
      </c>
      <c r="AO19" s="37" t="s">
        <v>517</v>
      </c>
      <c r="AQ19" s="37" t="s">
        <v>628</v>
      </c>
      <c r="AS19" s="37" t="s">
        <v>656</v>
      </c>
      <c r="AW19" s="37" t="s">
        <v>705</v>
      </c>
      <c r="AY19" s="37" t="s">
        <v>733</v>
      </c>
      <c r="BA19" s="36" t="s">
        <v>757</v>
      </c>
      <c r="BC19" s="36" t="s">
        <v>814</v>
      </c>
      <c r="BI19" s="36" t="s">
        <v>871</v>
      </c>
      <c r="BK19" s="37" t="s">
        <v>948</v>
      </c>
      <c r="BM19" s="37" t="s">
        <v>974</v>
      </c>
      <c r="BO19" s="36" t="s">
        <v>1017</v>
      </c>
      <c r="BS19" s="37" t="s">
        <v>1062</v>
      </c>
      <c r="CN19" s="110" t="s">
        <v>1187</v>
      </c>
      <c r="CO19" s="115"/>
    </row>
    <row r="20" spans="3:93" ht="28.8" x14ac:dyDescent="0.3">
      <c r="C20" t="s">
        <v>439</v>
      </c>
      <c r="D20" t="s">
        <v>67</v>
      </c>
      <c r="E20" t="s">
        <v>48</v>
      </c>
      <c r="U20" s="36" t="s">
        <v>67</v>
      </c>
      <c r="W20" s="37" t="s">
        <v>192</v>
      </c>
      <c r="AA20" s="37" t="s">
        <v>217</v>
      </c>
      <c r="AC20" s="37" t="s">
        <v>261</v>
      </c>
      <c r="AE20" s="36" t="s">
        <v>383</v>
      </c>
      <c r="AI20" s="37" t="s">
        <v>424</v>
      </c>
      <c r="AK20" s="37" t="s">
        <v>464</v>
      </c>
      <c r="AM20" s="36" t="s">
        <v>488</v>
      </c>
      <c r="AO20" s="36" t="s">
        <v>518</v>
      </c>
      <c r="AQ20" s="36" t="s">
        <v>629</v>
      </c>
      <c r="AS20" s="36" t="s">
        <v>657</v>
      </c>
      <c r="AW20" s="36" t="s">
        <v>706</v>
      </c>
      <c r="AY20" s="36" t="s">
        <v>734</v>
      </c>
      <c r="BA20" s="37" t="s">
        <v>758</v>
      </c>
      <c r="BC20" s="37" t="s">
        <v>815</v>
      </c>
      <c r="BI20" s="37" t="s">
        <v>872</v>
      </c>
      <c r="BK20" s="36" t="s">
        <v>949</v>
      </c>
      <c r="BM20" s="36" t="s">
        <v>975</v>
      </c>
      <c r="BO20" s="37" t="s">
        <v>1018</v>
      </c>
      <c r="BS20" s="38" t="s">
        <v>243</v>
      </c>
      <c r="CN20" s="108" t="s">
        <v>1188</v>
      </c>
      <c r="CO20" s="116">
        <v>2</v>
      </c>
    </row>
    <row r="21" spans="3:93" ht="28.8" x14ac:dyDescent="0.3">
      <c r="C21" t="s">
        <v>835</v>
      </c>
      <c r="D21" t="s">
        <v>68</v>
      </c>
      <c r="E21" t="s">
        <v>48</v>
      </c>
      <c r="U21" s="37" t="s">
        <v>68</v>
      </c>
      <c r="W21" s="36" t="s">
        <v>193</v>
      </c>
      <c r="AA21" s="36" t="s">
        <v>218</v>
      </c>
      <c r="AC21" s="36" t="s">
        <v>262</v>
      </c>
      <c r="AE21" s="37" t="s">
        <v>384</v>
      </c>
      <c r="AI21" s="36" t="s">
        <v>425</v>
      </c>
      <c r="AK21" s="36" t="s">
        <v>465</v>
      </c>
      <c r="AM21" s="37" t="s">
        <v>489</v>
      </c>
      <c r="AO21" s="37" t="s">
        <v>519</v>
      </c>
      <c r="AQ21" s="37" t="s">
        <v>630</v>
      </c>
      <c r="AS21" s="37" t="s">
        <v>658</v>
      </c>
      <c r="AW21" s="37" t="s">
        <v>707</v>
      </c>
      <c r="AY21" s="37" t="s">
        <v>735</v>
      </c>
      <c r="BA21" s="36" t="s">
        <v>759</v>
      </c>
      <c r="BC21" s="36" t="s">
        <v>816</v>
      </c>
      <c r="BI21" s="36" t="s">
        <v>873</v>
      </c>
      <c r="BK21" s="37" t="s">
        <v>950</v>
      </c>
      <c r="BM21" s="37" t="s">
        <v>976</v>
      </c>
      <c r="BO21" s="36" t="s">
        <v>1019</v>
      </c>
      <c r="CN21" s="108" t="s">
        <v>1189</v>
      </c>
      <c r="CO21" s="115"/>
    </row>
    <row r="22" spans="3:93" ht="28.8" x14ac:dyDescent="0.3">
      <c r="C22" t="s">
        <v>384</v>
      </c>
      <c r="D22" t="s">
        <v>69</v>
      </c>
      <c r="E22" t="s">
        <v>48</v>
      </c>
      <c r="U22" s="36" t="s">
        <v>69</v>
      </c>
      <c r="W22" s="37" t="s">
        <v>194</v>
      </c>
      <c r="AA22" s="37" t="s">
        <v>219</v>
      </c>
      <c r="AC22" s="37" t="s">
        <v>263</v>
      </c>
      <c r="AE22" s="36" t="s">
        <v>385</v>
      </c>
      <c r="AI22" s="37" t="s">
        <v>426</v>
      </c>
      <c r="AK22" s="37" t="s">
        <v>466</v>
      </c>
      <c r="AM22" s="36" t="s">
        <v>490</v>
      </c>
      <c r="AO22" s="36" t="s">
        <v>520</v>
      </c>
      <c r="AQ22" s="36" t="s">
        <v>631</v>
      </c>
      <c r="AS22" s="36" t="s">
        <v>659</v>
      </c>
      <c r="AW22" s="36" t="s">
        <v>708</v>
      </c>
      <c r="AY22" s="36" t="s">
        <v>736</v>
      </c>
      <c r="BA22" s="37" t="s">
        <v>417</v>
      </c>
      <c r="BC22" s="37" t="s">
        <v>817</v>
      </c>
      <c r="BI22" s="37" t="s">
        <v>87</v>
      </c>
      <c r="BK22" s="36" t="s">
        <v>951</v>
      </c>
      <c r="BM22" s="36" t="s">
        <v>977</v>
      </c>
      <c r="BO22" s="37" t="s">
        <v>1020</v>
      </c>
      <c r="CN22" s="111" t="s">
        <v>1190</v>
      </c>
      <c r="CO22" s="113">
        <v>1</v>
      </c>
    </row>
    <row r="23" spans="3:93" ht="28.8" x14ac:dyDescent="0.3">
      <c r="C23" t="s">
        <v>858</v>
      </c>
      <c r="D23" t="s">
        <v>70</v>
      </c>
      <c r="E23" t="s">
        <v>48</v>
      </c>
      <c r="U23" s="37" t="s">
        <v>70</v>
      </c>
      <c r="W23" s="36" t="s">
        <v>195</v>
      </c>
      <c r="AA23" s="36" t="s">
        <v>220</v>
      </c>
      <c r="AC23" s="36" t="s">
        <v>264</v>
      </c>
      <c r="AE23" s="37" t="s">
        <v>386</v>
      </c>
      <c r="AI23" s="36" t="s">
        <v>221</v>
      </c>
      <c r="AK23" s="36" t="s">
        <v>467</v>
      </c>
      <c r="AM23" s="37" t="s">
        <v>491</v>
      </c>
      <c r="AO23" s="37" t="s">
        <v>521</v>
      </c>
      <c r="AQ23" s="37" t="s">
        <v>632</v>
      </c>
      <c r="AS23" s="37" t="s">
        <v>660</v>
      </c>
      <c r="AW23" s="37" t="s">
        <v>385</v>
      </c>
      <c r="AY23" s="37" t="s">
        <v>737</v>
      </c>
      <c r="BA23" s="36" t="s">
        <v>760</v>
      </c>
      <c r="BC23" s="36" t="s">
        <v>818</v>
      </c>
      <c r="BI23" s="36" t="s">
        <v>874</v>
      </c>
      <c r="BK23" s="37" t="s">
        <v>952</v>
      </c>
      <c r="BM23" s="37" t="s">
        <v>978</v>
      </c>
      <c r="BO23" s="36" t="s">
        <v>1021</v>
      </c>
      <c r="CN23" s="108" t="s">
        <v>1191</v>
      </c>
      <c r="CO23" s="116"/>
    </row>
    <row r="24" spans="3:93" x14ac:dyDescent="0.3">
      <c r="C24" t="s">
        <v>956</v>
      </c>
      <c r="D24" t="s">
        <v>71</v>
      </c>
      <c r="E24" t="s">
        <v>48</v>
      </c>
      <c r="U24" s="36" t="s">
        <v>71</v>
      </c>
      <c r="W24" s="39" t="s">
        <v>196</v>
      </c>
      <c r="AA24" s="37" t="s">
        <v>221</v>
      </c>
      <c r="AC24" s="37" t="s">
        <v>265</v>
      </c>
      <c r="AE24" s="36" t="s">
        <v>387</v>
      </c>
      <c r="AI24" s="37" t="s">
        <v>427</v>
      </c>
      <c r="AK24" s="37" t="s">
        <v>468</v>
      </c>
      <c r="AM24" s="36" t="s">
        <v>492</v>
      </c>
      <c r="AO24" s="36" t="s">
        <v>522</v>
      </c>
      <c r="AQ24" s="36" t="s">
        <v>633</v>
      </c>
      <c r="AS24" s="36" t="s">
        <v>381</v>
      </c>
      <c r="AW24" s="36" t="s">
        <v>709</v>
      </c>
      <c r="AY24" s="36" t="s">
        <v>403</v>
      </c>
      <c r="BA24" s="37" t="s">
        <v>761</v>
      </c>
      <c r="BC24" s="37" t="s">
        <v>819</v>
      </c>
      <c r="BI24" s="37" t="s">
        <v>875</v>
      </c>
      <c r="BK24" s="36" t="s">
        <v>953</v>
      </c>
      <c r="BM24" s="36" t="s">
        <v>979</v>
      </c>
      <c r="BO24" s="37" t="s">
        <v>1022</v>
      </c>
    </row>
    <row r="25" spans="3:93" ht="44.4" x14ac:dyDescent="0.3">
      <c r="C25" s="87" t="s">
        <v>1002</v>
      </c>
      <c r="D25" t="s">
        <v>72</v>
      </c>
      <c r="E25" t="s">
        <v>48</v>
      </c>
      <c r="U25" s="37" t="s">
        <v>72</v>
      </c>
      <c r="AA25" s="36" t="s">
        <v>222</v>
      </c>
      <c r="AC25" s="36" t="s">
        <v>266</v>
      </c>
      <c r="AE25" s="37" t="s">
        <v>388</v>
      </c>
      <c r="AI25" s="36" t="s">
        <v>306</v>
      </c>
      <c r="AK25" s="36" t="s">
        <v>469</v>
      </c>
      <c r="AM25" s="37" t="s">
        <v>493</v>
      </c>
      <c r="AO25" s="37" t="s">
        <v>213</v>
      </c>
      <c r="AQ25" s="37" t="s">
        <v>634</v>
      </c>
      <c r="AS25" s="37" t="s">
        <v>661</v>
      </c>
      <c r="AW25" s="37" t="s">
        <v>710</v>
      </c>
      <c r="AY25" s="37" t="s">
        <v>738</v>
      </c>
      <c r="BA25" s="36" t="s">
        <v>762</v>
      </c>
      <c r="BC25" s="36" t="s">
        <v>820</v>
      </c>
      <c r="BI25" s="36" t="s">
        <v>876</v>
      </c>
      <c r="BK25" s="37" t="s">
        <v>439</v>
      </c>
      <c r="BM25" s="37" t="s">
        <v>980</v>
      </c>
      <c r="BO25" s="36" t="s">
        <v>114</v>
      </c>
      <c r="CK25" s="117" t="s">
        <v>1172</v>
      </c>
      <c r="CL25" s="118" t="s">
        <v>18</v>
      </c>
    </row>
    <row r="26" spans="3:93" x14ac:dyDescent="0.3">
      <c r="C26" t="s">
        <v>1038</v>
      </c>
      <c r="D26" t="s">
        <v>73</v>
      </c>
      <c r="E26" t="s">
        <v>48</v>
      </c>
      <c r="U26" s="36" t="s">
        <v>73</v>
      </c>
      <c r="AA26" s="37" t="s">
        <v>223</v>
      </c>
      <c r="AC26" s="37" t="s">
        <v>267</v>
      </c>
      <c r="AE26" s="36" t="s">
        <v>389</v>
      </c>
      <c r="AI26" s="37" t="s">
        <v>428</v>
      </c>
      <c r="AK26" s="39" t="s">
        <v>470</v>
      </c>
      <c r="AM26" s="36" t="s">
        <v>138</v>
      </c>
      <c r="AO26" s="36" t="s">
        <v>523</v>
      </c>
      <c r="AQ26" s="36" t="s">
        <v>383</v>
      </c>
      <c r="AS26" s="36" t="s">
        <v>662</v>
      </c>
      <c r="AW26" s="36" t="s">
        <v>711</v>
      </c>
      <c r="AY26" s="36" t="s">
        <v>739</v>
      </c>
      <c r="BA26" s="37" t="s">
        <v>763</v>
      </c>
      <c r="BC26" s="37" t="s">
        <v>821</v>
      </c>
      <c r="BI26" s="37" t="s">
        <v>877</v>
      </c>
      <c r="BK26" s="36" t="s">
        <v>954</v>
      </c>
      <c r="BM26" s="36" t="s">
        <v>981</v>
      </c>
      <c r="BO26" s="37" t="s">
        <v>290</v>
      </c>
      <c r="CK26" s="104"/>
      <c r="CL26" s="112"/>
    </row>
    <row r="27" spans="3:93" ht="18.600000000000001" customHeight="1" x14ac:dyDescent="0.3">
      <c r="C27" s="87" t="s">
        <v>1045</v>
      </c>
      <c r="D27" t="s">
        <v>74</v>
      </c>
      <c r="E27" t="s">
        <v>48</v>
      </c>
      <c r="U27" s="37" t="s">
        <v>74</v>
      </c>
      <c r="AA27" s="36" t="s">
        <v>224</v>
      </c>
      <c r="AC27" s="36" t="s">
        <v>268</v>
      </c>
      <c r="AE27" s="37" t="s">
        <v>390</v>
      </c>
      <c r="AI27" s="36" t="s">
        <v>429</v>
      </c>
      <c r="AM27" s="37" t="s">
        <v>494</v>
      </c>
      <c r="AO27" s="37" t="s">
        <v>524</v>
      </c>
      <c r="AQ27" s="37" t="s">
        <v>635</v>
      </c>
      <c r="AS27" s="37" t="s">
        <v>663</v>
      </c>
      <c r="AW27" s="37" t="s">
        <v>712</v>
      </c>
      <c r="AY27" s="37" t="s">
        <v>740</v>
      </c>
      <c r="BA27" s="36" t="s">
        <v>764</v>
      </c>
      <c r="BC27" s="36" t="s">
        <v>822</v>
      </c>
      <c r="BI27" s="36" t="s">
        <v>878</v>
      </c>
      <c r="BK27" s="39" t="s">
        <v>955</v>
      </c>
      <c r="BM27" s="37" t="s">
        <v>982</v>
      </c>
      <c r="BO27" s="36" t="s">
        <v>1023</v>
      </c>
      <c r="CK27" s="105" t="s">
        <v>1229</v>
      </c>
      <c r="CL27" s="113">
        <v>10</v>
      </c>
    </row>
    <row r="28" spans="3:93" x14ac:dyDescent="0.3">
      <c r="C28" t="s">
        <v>1063</v>
      </c>
      <c r="D28" t="s">
        <v>75</v>
      </c>
      <c r="E28" t="s">
        <v>48</v>
      </c>
      <c r="U28" s="36" t="s">
        <v>75</v>
      </c>
      <c r="AA28" s="37" t="s">
        <v>225</v>
      </c>
      <c r="AC28" s="37" t="s">
        <v>269</v>
      </c>
      <c r="AE28" s="38" t="s">
        <v>391</v>
      </c>
      <c r="AI28" s="37" t="s">
        <v>430</v>
      </c>
      <c r="AM28" s="36" t="s">
        <v>495</v>
      </c>
      <c r="AO28" s="36" t="s">
        <v>525</v>
      </c>
      <c r="AQ28" s="36" t="s">
        <v>636</v>
      </c>
      <c r="AS28" s="36" t="s">
        <v>664</v>
      </c>
      <c r="AW28" s="36" t="s">
        <v>713</v>
      </c>
      <c r="AY28" s="36" t="s">
        <v>741</v>
      </c>
      <c r="BA28" s="37" t="s">
        <v>765</v>
      </c>
      <c r="BC28" s="37" t="s">
        <v>823</v>
      </c>
      <c r="BI28" s="37" t="s">
        <v>879</v>
      </c>
      <c r="BM28" s="36" t="s">
        <v>983</v>
      </c>
      <c r="BO28" s="37" t="s">
        <v>1024</v>
      </c>
      <c r="CK28" s="108" t="s">
        <v>1174</v>
      </c>
      <c r="CL28" s="114">
        <v>9</v>
      </c>
    </row>
    <row r="29" spans="3:93" x14ac:dyDescent="0.3">
      <c r="C29" t="s">
        <v>1073</v>
      </c>
      <c r="D29" t="s">
        <v>76</v>
      </c>
      <c r="E29" t="s">
        <v>48</v>
      </c>
      <c r="U29" s="37" t="s">
        <v>76</v>
      </c>
      <c r="AA29" s="36" t="s">
        <v>226</v>
      </c>
      <c r="AC29" s="36" t="s">
        <v>270</v>
      </c>
      <c r="AI29" s="36" t="s">
        <v>431</v>
      </c>
      <c r="AM29" s="37" t="s">
        <v>496</v>
      </c>
      <c r="AO29" s="37" t="s">
        <v>526</v>
      </c>
      <c r="AQ29" s="37" t="s">
        <v>637</v>
      </c>
      <c r="AS29" s="37" t="s">
        <v>665</v>
      </c>
      <c r="AW29" s="37" t="s">
        <v>714</v>
      </c>
      <c r="AY29" s="37" t="s">
        <v>469</v>
      </c>
      <c r="BA29" s="36" t="s">
        <v>766</v>
      </c>
      <c r="BC29" s="36" t="s">
        <v>824</v>
      </c>
      <c r="BI29" s="36" t="s">
        <v>213</v>
      </c>
      <c r="BM29" s="37" t="s">
        <v>984</v>
      </c>
      <c r="BO29" s="36" t="s">
        <v>1025</v>
      </c>
      <c r="CK29" s="108" t="s">
        <v>1176</v>
      </c>
      <c r="CL29" s="116">
        <v>8</v>
      </c>
    </row>
    <row r="30" spans="3:93" x14ac:dyDescent="0.3">
      <c r="C30" t="s">
        <v>1074</v>
      </c>
      <c r="D30" t="s">
        <v>77</v>
      </c>
      <c r="E30" t="s">
        <v>48</v>
      </c>
      <c r="U30" s="36" t="s">
        <v>77</v>
      </c>
      <c r="AA30" s="37" t="s">
        <v>227</v>
      </c>
      <c r="AC30" s="37" t="s">
        <v>271</v>
      </c>
      <c r="AI30" s="37" t="s">
        <v>432</v>
      </c>
      <c r="AM30" s="36" t="s">
        <v>497</v>
      </c>
      <c r="AO30" s="36" t="s">
        <v>527</v>
      </c>
      <c r="AQ30" s="36" t="s">
        <v>638</v>
      </c>
      <c r="AS30" s="36" t="s">
        <v>330</v>
      </c>
      <c r="AW30" s="36" t="s">
        <v>715</v>
      </c>
      <c r="AY30" s="38" t="s">
        <v>742</v>
      </c>
      <c r="BA30" s="37" t="s">
        <v>767</v>
      </c>
      <c r="BC30" s="37" t="s">
        <v>825</v>
      </c>
      <c r="BI30" s="37" t="s">
        <v>880</v>
      </c>
      <c r="BM30" s="36" t="s">
        <v>985</v>
      </c>
      <c r="BO30" s="37" t="s">
        <v>738</v>
      </c>
      <c r="CK30" s="108" t="s">
        <v>1178</v>
      </c>
      <c r="CL30" s="116">
        <v>7</v>
      </c>
    </row>
    <row r="31" spans="3:93" x14ac:dyDescent="0.3">
      <c r="C31" s="87" t="s">
        <v>1077</v>
      </c>
      <c r="D31" t="s">
        <v>78</v>
      </c>
      <c r="E31" t="s">
        <v>48</v>
      </c>
      <c r="U31" s="37" t="s">
        <v>78</v>
      </c>
      <c r="AA31" s="36" t="s">
        <v>228</v>
      </c>
      <c r="AC31" s="36" t="s">
        <v>272</v>
      </c>
      <c r="AI31" s="36" t="s">
        <v>433</v>
      </c>
      <c r="AM31" s="39" t="s">
        <v>498</v>
      </c>
      <c r="AO31" s="37" t="s">
        <v>528</v>
      </c>
      <c r="AQ31" s="39" t="s">
        <v>639</v>
      </c>
      <c r="AS31" s="37" t="s">
        <v>666</v>
      </c>
      <c r="AW31" s="39" t="s">
        <v>716</v>
      </c>
      <c r="BA31" s="36" t="s">
        <v>768</v>
      </c>
      <c r="BC31" s="36" t="s">
        <v>826</v>
      </c>
      <c r="BI31" s="36" t="s">
        <v>881</v>
      </c>
      <c r="BM31" s="37" t="s">
        <v>986</v>
      </c>
      <c r="BO31" s="36" t="s">
        <v>1026</v>
      </c>
      <c r="CK31" s="108" t="s">
        <v>1180</v>
      </c>
      <c r="CL31" s="116">
        <v>6</v>
      </c>
    </row>
    <row r="32" spans="3:93" x14ac:dyDescent="0.3">
      <c r="C32" t="s">
        <v>1079</v>
      </c>
      <c r="D32" t="s">
        <v>79</v>
      </c>
      <c r="E32" t="s">
        <v>48</v>
      </c>
      <c r="U32" s="36" t="s">
        <v>79</v>
      </c>
      <c r="AA32" s="37" t="s">
        <v>229</v>
      </c>
      <c r="AC32" s="37" t="s">
        <v>273</v>
      </c>
      <c r="AI32" s="37" t="s">
        <v>434</v>
      </c>
      <c r="AO32" s="36" t="s">
        <v>529</v>
      </c>
      <c r="AS32" s="36" t="s">
        <v>667</v>
      </c>
      <c r="BA32" s="37" t="s">
        <v>769</v>
      </c>
      <c r="BC32" s="37" t="s">
        <v>827</v>
      </c>
      <c r="BI32" s="37" t="s">
        <v>882</v>
      </c>
      <c r="BM32" s="36" t="s">
        <v>987</v>
      </c>
      <c r="BO32" s="37" t="s">
        <v>1027</v>
      </c>
      <c r="CK32" s="108" t="s">
        <v>1182</v>
      </c>
      <c r="CL32" s="116">
        <v>5</v>
      </c>
    </row>
    <row r="33" spans="3:90" x14ac:dyDescent="0.3">
      <c r="C33" t="s">
        <v>1082</v>
      </c>
      <c r="D33" t="s">
        <v>80</v>
      </c>
      <c r="E33" t="s">
        <v>48</v>
      </c>
      <c r="U33" s="37" t="s">
        <v>80</v>
      </c>
      <c r="AA33" s="36" t="s">
        <v>230</v>
      </c>
      <c r="AC33" s="36" t="s">
        <v>274</v>
      </c>
      <c r="AI33" s="36" t="s">
        <v>435</v>
      </c>
      <c r="AO33" s="37" t="s">
        <v>530</v>
      </c>
      <c r="AS33" s="37" t="s">
        <v>668</v>
      </c>
      <c r="BA33" s="36" t="s">
        <v>770</v>
      </c>
      <c r="BC33" s="36" t="s">
        <v>573</v>
      </c>
      <c r="BI33" s="36" t="s">
        <v>883</v>
      </c>
      <c r="BM33" s="37" t="s">
        <v>988</v>
      </c>
      <c r="BO33" s="36" t="s">
        <v>952</v>
      </c>
      <c r="CK33" s="108" t="s">
        <v>1184</v>
      </c>
      <c r="CL33" s="116">
        <v>4</v>
      </c>
    </row>
    <row r="34" spans="3:90" x14ac:dyDescent="0.3">
      <c r="C34" t="s">
        <v>1086</v>
      </c>
      <c r="D34" t="s">
        <v>81</v>
      </c>
      <c r="E34" t="s">
        <v>48</v>
      </c>
      <c r="U34" s="36" t="s">
        <v>81</v>
      </c>
      <c r="AA34" s="37" t="s">
        <v>231</v>
      </c>
      <c r="AC34" s="37" t="s">
        <v>275</v>
      </c>
      <c r="AI34" s="37" t="s">
        <v>235</v>
      </c>
      <c r="AO34" s="36" t="s">
        <v>531</v>
      </c>
      <c r="AS34" s="36" t="s">
        <v>669</v>
      </c>
      <c r="BA34" s="37" t="s">
        <v>114</v>
      </c>
      <c r="BC34" s="37" t="s">
        <v>828</v>
      </c>
      <c r="BI34" s="37" t="s">
        <v>884</v>
      </c>
      <c r="BM34" s="36" t="s">
        <v>989</v>
      </c>
      <c r="BO34" s="37" t="s">
        <v>1028</v>
      </c>
      <c r="CK34" s="108" t="s">
        <v>1186</v>
      </c>
      <c r="CL34" s="116">
        <v>3</v>
      </c>
    </row>
    <row r="35" spans="3:90" x14ac:dyDescent="0.3">
      <c r="D35" t="s">
        <v>82</v>
      </c>
      <c r="E35" t="s">
        <v>48</v>
      </c>
      <c r="U35" s="37" t="s">
        <v>82</v>
      </c>
      <c r="AA35" s="36" t="s">
        <v>232</v>
      </c>
      <c r="AC35" s="36" t="s">
        <v>276</v>
      </c>
      <c r="AI35" s="36" t="s">
        <v>436</v>
      </c>
      <c r="AO35" s="37" t="s">
        <v>532</v>
      </c>
      <c r="AS35" s="37" t="s">
        <v>670</v>
      </c>
      <c r="BA35" s="36" t="s">
        <v>771</v>
      </c>
      <c r="BC35" s="36" t="s">
        <v>829</v>
      </c>
      <c r="BI35" s="36" t="s">
        <v>885</v>
      </c>
      <c r="BM35" s="37" t="s">
        <v>990</v>
      </c>
      <c r="BO35" s="36" t="s">
        <v>1029</v>
      </c>
      <c r="CK35" s="108" t="s">
        <v>1188</v>
      </c>
      <c r="CL35" s="116">
        <v>2</v>
      </c>
    </row>
    <row r="36" spans="3:90" x14ac:dyDescent="0.3">
      <c r="D36" t="s">
        <v>83</v>
      </c>
      <c r="E36" t="s">
        <v>48</v>
      </c>
      <c r="U36" s="36" t="s">
        <v>83</v>
      </c>
      <c r="AA36" s="37" t="s">
        <v>233</v>
      </c>
      <c r="AC36" s="37" t="s">
        <v>277</v>
      </c>
      <c r="AI36" s="37" t="s">
        <v>437</v>
      </c>
      <c r="AO36" s="36" t="s">
        <v>533</v>
      </c>
      <c r="AS36" s="36" t="s">
        <v>671</v>
      </c>
      <c r="BA36" s="37" t="s">
        <v>772</v>
      </c>
      <c r="BC36" s="37" t="s">
        <v>830</v>
      </c>
      <c r="BI36" s="37" t="s">
        <v>886</v>
      </c>
      <c r="BM36" s="36" t="s">
        <v>991</v>
      </c>
      <c r="BO36" s="37" t="s">
        <v>1030</v>
      </c>
      <c r="CK36" s="111" t="s">
        <v>1190</v>
      </c>
      <c r="CL36" s="113">
        <v>1</v>
      </c>
    </row>
    <row r="37" spans="3:90" x14ac:dyDescent="0.3">
      <c r="D37" t="s">
        <v>84</v>
      </c>
      <c r="E37" t="s">
        <v>48</v>
      </c>
      <c r="U37" s="37" t="s">
        <v>84</v>
      </c>
      <c r="AA37" s="36" t="s">
        <v>234</v>
      </c>
      <c r="AC37" s="36" t="s">
        <v>278</v>
      </c>
      <c r="AI37" s="36" t="s">
        <v>438</v>
      </c>
      <c r="AO37" s="37" t="s">
        <v>534</v>
      </c>
      <c r="AS37" s="37" t="s">
        <v>672</v>
      </c>
      <c r="BA37" s="36" t="s">
        <v>773</v>
      </c>
      <c r="BC37" s="36" t="s">
        <v>831</v>
      </c>
      <c r="BI37" s="36" t="s">
        <v>887</v>
      </c>
      <c r="BM37" s="37" t="s">
        <v>992</v>
      </c>
      <c r="BO37" s="36" t="s">
        <v>1031</v>
      </c>
      <c r="CK37" s="111"/>
      <c r="CL37" s="115"/>
    </row>
    <row r="38" spans="3:90" x14ac:dyDescent="0.3">
      <c r="D38" t="s">
        <v>85</v>
      </c>
      <c r="E38" t="s">
        <v>48</v>
      </c>
      <c r="U38" s="36" t="s">
        <v>85</v>
      </c>
      <c r="AA38" s="37" t="s">
        <v>235</v>
      </c>
      <c r="AC38" s="37" t="s">
        <v>279</v>
      </c>
      <c r="AI38" s="37" t="s">
        <v>439</v>
      </c>
      <c r="AO38" s="36" t="s">
        <v>101</v>
      </c>
      <c r="AS38" s="38" t="s">
        <v>673</v>
      </c>
      <c r="BA38" s="37" t="s">
        <v>774</v>
      </c>
      <c r="BC38" s="37" t="s">
        <v>832</v>
      </c>
      <c r="BI38" s="37" t="s">
        <v>888</v>
      </c>
      <c r="BM38" s="36" t="s">
        <v>993</v>
      </c>
      <c r="BO38" s="37" t="s">
        <v>1032</v>
      </c>
      <c r="CK38" s="111"/>
      <c r="CL38" s="113"/>
    </row>
    <row r="39" spans="3:90" x14ac:dyDescent="0.3">
      <c r="D39" t="s">
        <v>86</v>
      </c>
      <c r="E39" t="s">
        <v>48</v>
      </c>
      <c r="U39" s="37" t="s">
        <v>86</v>
      </c>
      <c r="AA39" s="36" t="s">
        <v>236</v>
      </c>
      <c r="AC39" s="36" t="s">
        <v>280</v>
      </c>
      <c r="AI39" s="36" t="s">
        <v>440</v>
      </c>
      <c r="AO39" s="37" t="s">
        <v>535</v>
      </c>
      <c r="BA39" s="36" t="s">
        <v>775</v>
      </c>
      <c r="BC39" s="36" t="s">
        <v>160</v>
      </c>
      <c r="BI39" s="36" t="s">
        <v>102</v>
      </c>
      <c r="BM39" s="37" t="s">
        <v>994</v>
      </c>
      <c r="BO39" s="36" t="s">
        <v>1033</v>
      </c>
      <c r="CK39" s="119" t="s">
        <v>1175</v>
      </c>
      <c r="CL39" s="115"/>
    </row>
    <row r="40" spans="3:90" x14ac:dyDescent="0.3">
      <c r="D40" t="s">
        <v>87</v>
      </c>
      <c r="E40" t="s">
        <v>48</v>
      </c>
      <c r="U40" s="36" t="s">
        <v>87</v>
      </c>
      <c r="AA40" s="37" t="s">
        <v>237</v>
      </c>
      <c r="AC40" s="37" t="s">
        <v>281</v>
      </c>
      <c r="AI40" s="37" t="s">
        <v>441</v>
      </c>
      <c r="AO40" s="36" t="s">
        <v>536</v>
      </c>
      <c r="BA40" s="37" t="s">
        <v>554</v>
      </c>
      <c r="BC40" s="37" t="s">
        <v>833</v>
      </c>
      <c r="BI40" s="37" t="s">
        <v>889</v>
      </c>
      <c r="BM40" s="36" t="s">
        <v>995</v>
      </c>
      <c r="BO40" s="37" t="s">
        <v>1034</v>
      </c>
      <c r="CK40" s="119" t="s">
        <v>1177</v>
      </c>
      <c r="CL40" s="113"/>
    </row>
    <row r="41" spans="3:90" x14ac:dyDescent="0.3">
      <c r="D41" t="s">
        <v>88</v>
      </c>
      <c r="E41" t="s">
        <v>48</v>
      </c>
      <c r="U41" s="37" t="s">
        <v>88</v>
      </c>
      <c r="AA41" s="36" t="s">
        <v>238</v>
      </c>
      <c r="AC41" s="36" t="s">
        <v>282</v>
      </c>
      <c r="AI41" s="36" t="s">
        <v>442</v>
      </c>
      <c r="AO41" s="37" t="s">
        <v>537</v>
      </c>
      <c r="BA41" s="36" t="s">
        <v>121</v>
      </c>
      <c r="BC41" s="38" t="s">
        <v>834</v>
      </c>
      <c r="BI41" s="36" t="s">
        <v>890</v>
      </c>
      <c r="BM41" s="37" t="s">
        <v>996</v>
      </c>
      <c r="BO41" s="36" t="s">
        <v>1035</v>
      </c>
      <c r="CK41" s="119" t="s">
        <v>1179</v>
      </c>
      <c r="CL41" s="115"/>
    </row>
    <row r="42" spans="3:90" x14ac:dyDescent="0.3">
      <c r="D42" t="s">
        <v>89</v>
      </c>
      <c r="E42" t="s">
        <v>48</v>
      </c>
      <c r="U42" s="36" t="s">
        <v>89</v>
      </c>
      <c r="AA42" s="37" t="s">
        <v>239</v>
      </c>
      <c r="AC42" s="37" t="s">
        <v>283</v>
      </c>
      <c r="AI42" s="37" t="s">
        <v>443</v>
      </c>
      <c r="AO42" s="36" t="s">
        <v>538</v>
      </c>
      <c r="BA42" s="37" t="s">
        <v>776</v>
      </c>
      <c r="BI42" s="37" t="s">
        <v>891</v>
      </c>
      <c r="BM42" s="36" t="s">
        <v>143</v>
      </c>
      <c r="BO42" s="37" t="s">
        <v>1036</v>
      </c>
      <c r="CK42" s="119" t="s">
        <v>1181</v>
      </c>
      <c r="CL42" s="113"/>
    </row>
    <row r="43" spans="3:90" x14ac:dyDescent="0.3">
      <c r="D43" t="s">
        <v>90</v>
      </c>
      <c r="E43" t="s">
        <v>48</v>
      </c>
      <c r="U43" s="37" t="s">
        <v>90</v>
      </c>
      <c r="AA43" s="36" t="s">
        <v>240</v>
      </c>
      <c r="AC43" s="36" t="s">
        <v>284</v>
      </c>
      <c r="AI43" s="38" t="s">
        <v>444</v>
      </c>
      <c r="AO43" s="37" t="s">
        <v>539</v>
      </c>
      <c r="BA43" s="36" t="s">
        <v>777</v>
      </c>
      <c r="BI43" s="36" t="s">
        <v>892</v>
      </c>
      <c r="BM43" s="37" t="s">
        <v>997</v>
      </c>
      <c r="BO43" s="38" t="s">
        <v>1037</v>
      </c>
      <c r="CK43" s="119" t="s">
        <v>1183</v>
      </c>
      <c r="CL43" s="115"/>
    </row>
    <row r="44" spans="3:90" x14ac:dyDescent="0.3">
      <c r="D44" t="s">
        <v>91</v>
      </c>
      <c r="E44" t="s">
        <v>48</v>
      </c>
      <c r="U44" s="36" t="s">
        <v>91</v>
      </c>
      <c r="AA44" s="37" t="s">
        <v>241</v>
      </c>
      <c r="AC44" s="37" t="s">
        <v>285</v>
      </c>
      <c r="AO44" s="36" t="s">
        <v>540</v>
      </c>
      <c r="BA44" s="37" t="s">
        <v>778</v>
      </c>
      <c r="BI44" s="37" t="s">
        <v>893</v>
      </c>
      <c r="BM44" s="36" t="s">
        <v>438</v>
      </c>
      <c r="CK44" s="110" t="s">
        <v>1185</v>
      </c>
      <c r="CL44" s="113"/>
    </row>
    <row r="45" spans="3:90" x14ac:dyDescent="0.3">
      <c r="D45" t="s">
        <v>92</v>
      </c>
      <c r="E45" t="s">
        <v>48</v>
      </c>
      <c r="U45" s="37" t="s">
        <v>92</v>
      </c>
      <c r="AA45" s="36" t="s">
        <v>242</v>
      </c>
      <c r="AC45" s="36" t="s">
        <v>286</v>
      </c>
      <c r="AO45" s="37" t="s">
        <v>541</v>
      </c>
      <c r="BA45" s="36" t="s">
        <v>779</v>
      </c>
      <c r="BI45" s="36" t="s">
        <v>894</v>
      </c>
      <c r="BM45" s="37" t="s">
        <v>998</v>
      </c>
      <c r="CK45" s="110" t="s">
        <v>1187</v>
      </c>
      <c r="CL45" s="115"/>
    </row>
    <row r="46" spans="3:90" x14ac:dyDescent="0.3">
      <c r="D46" t="s">
        <v>93</v>
      </c>
      <c r="E46" t="s">
        <v>48</v>
      </c>
      <c r="U46" s="36" t="s">
        <v>93</v>
      </c>
      <c r="AA46" s="37" t="s">
        <v>243</v>
      </c>
      <c r="AC46" s="37" t="s">
        <v>287</v>
      </c>
      <c r="AO46" s="36" t="s">
        <v>542</v>
      </c>
      <c r="BA46" s="37" t="s">
        <v>780</v>
      </c>
      <c r="BI46" s="37" t="s">
        <v>895</v>
      </c>
      <c r="BM46" s="36" t="s">
        <v>999</v>
      </c>
      <c r="CK46" s="108" t="s">
        <v>1189</v>
      </c>
      <c r="CL46" s="113"/>
    </row>
    <row r="47" spans="3:90" x14ac:dyDescent="0.3">
      <c r="D47" t="s">
        <v>94</v>
      </c>
      <c r="E47" t="s">
        <v>48</v>
      </c>
      <c r="U47" s="37" t="s">
        <v>94</v>
      </c>
      <c r="AA47" s="38" t="s">
        <v>244</v>
      </c>
      <c r="AC47" s="36" t="s">
        <v>110</v>
      </c>
      <c r="AO47" s="37" t="s">
        <v>543</v>
      </c>
      <c r="BA47" s="36" t="s">
        <v>781</v>
      </c>
      <c r="BI47" s="36" t="s">
        <v>896</v>
      </c>
      <c r="BM47" s="37" t="s">
        <v>1000</v>
      </c>
      <c r="CK47" s="108" t="s">
        <v>1191</v>
      </c>
      <c r="CL47" s="116"/>
    </row>
    <row r="48" spans="3:90" x14ac:dyDescent="0.3">
      <c r="D48" t="s">
        <v>95</v>
      </c>
      <c r="E48" t="s">
        <v>48</v>
      </c>
      <c r="U48" s="36" t="s">
        <v>95</v>
      </c>
      <c r="AC48" s="37" t="s">
        <v>288</v>
      </c>
      <c r="AO48" s="36" t="s">
        <v>544</v>
      </c>
      <c r="BA48" s="37" t="s">
        <v>782</v>
      </c>
      <c r="BI48" s="37" t="s">
        <v>466</v>
      </c>
      <c r="BM48" s="38" t="s">
        <v>1001</v>
      </c>
    </row>
    <row r="49" spans="4:61" x14ac:dyDescent="0.3">
      <c r="D49" t="s">
        <v>96</v>
      </c>
      <c r="E49" t="s">
        <v>48</v>
      </c>
      <c r="U49" s="37" t="s">
        <v>96</v>
      </c>
      <c r="AC49" s="36" t="s">
        <v>289</v>
      </c>
      <c r="AO49" s="37" t="s">
        <v>545</v>
      </c>
      <c r="BA49" s="36" t="s">
        <v>783</v>
      </c>
      <c r="BI49" s="36" t="s">
        <v>897</v>
      </c>
    </row>
    <row r="50" spans="4:61" x14ac:dyDescent="0.3">
      <c r="D50" t="s">
        <v>97</v>
      </c>
      <c r="E50" t="s">
        <v>48</v>
      </c>
      <c r="U50" s="36" t="s">
        <v>97</v>
      </c>
      <c r="AC50" s="37" t="s">
        <v>290</v>
      </c>
      <c r="AO50" s="36" t="s">
        <v>546</v>
      </c>
      <c r="BA50" s="37" t="s">
        <v>570</v>
      </c>
      <c r="BI50" s="37" t="s">
        <v>898</v>
      </c>
    </row>
    <row r="51" spans="4:61" x14ac:dyDescent="0.3">
      <c r="D51" t="s">
        <v>98</v>
      </c>
      <c r="E51" t="s">
        <v>48</v>
      </c>
      <c r="U51" s="37" t="s">
        <v>98</v>
      </c>
      <c r="AC51" s="36" t="s">
        <v>291</v>
      </c>
      <c r="AO51" s="37" t="s">
        <v>547</v>
      </c>
      <c r="BA51" s="36" t="s">
        <v>784</v>
      </c>
      <c r="BI51" s="36" t="s">
        <v>899</v>
      </c>
    </row>
    <row r="52" spans="4:61" x14ac:dyDescent="0.3">
      <c r="D52" t="s">
        <v>99</v>
      </c>
      <c r="E52" t="s">
        <v>48</v>
      </c>
      <c r="U52" s="36" t="s">
        <v>99</v>
      </c>
      <c r="AC52" s="37" t="s">
        <v>292</v>
      </c>
      <c r="AO52" s="36" t="s">
        <v>548</v>
      </c>
      <c r="BA52" s="37" t="s">
        <v>785</v>
      </c>
      <c r="BI52" s="37" t="s">
        <v>900</v>
      </c>
    </row>
    <row r="53" spans="4:61" x14ac:dyDescent="0.3">
      <c r="D53" t="s">
        <v>100</v>
      </c>
      <c r="E53" t="s">
        <v>48</v>
      </c>
      <c r="U53" s="37" t="s">
        <v>100</v>
      </c>
      <c r="AC53" s="36" t="s">
        <v>293</v>
      </c>
      <c r="AO53" s="37" t="s">
        <v>423</v>
      </c>
      <c r="BA53" s="36" t="s">
        <v>786</v>
      </c>
      <c r="BI53" s="36" t="s">
        <v>901</v>
      </c>
    </row>
    <row r="54" spans="4:61" x14ac:dyDescent="0.3">
      <c r="D54" t="s">
        <v>101</v>
      </c>
      <c r="E54" t="s">
        <v>48</v>
      </c>
      <c r="U54" s="36" t="s">
        <v>101</v>
      </c>
      <c r="AC54" s="37" t="s">
        <v>294</v>
      </c>
      <c r="AO54" s="36" t="s">
        <v>549</v>
      </c>
      <c r="BA54" s="37" t="s">
        <v>572</v>
      </c>
      <c r="BI54" s="37" t="s">
        <v>902</v>
      </c>
    </row>
    <row r="55" spans="4:61" x14ac:dyDescent="0.3">
      <c r="D55" t="s">
        <v>102</v>
      </c>
      <c r="E55" t="s">
        <v>48</v>
      </c>
      <c r="U55" s="37" t="s">
        <v>102</v>
      </c>
      <c r="AC55" s="36" t="s">
        <v>295</v>
      </c>
      <c r="AO55" s="37" t="s">
        <v>550</v>
      </c>
      <c r="BA55" s="36" t="s">
        <v>787</v>
      </c>
      <c r="BI55" s="36" t="s">
        <v>903</v>
      </c>
    </row>
    <row r="56" spans="4:61" x14ac:dyDescent="0.3">
      <c r="D56" t="s">
        <v>103</v>
      </c>
      <c r="E56" t="s">
        <v>48</v>
      </c>
      <c r="U56" s="36" t="s">
        <v>103</v>
      </c>
      <c r="AC56" s="37" t="s">
        <v>296</v>
      </c>
      <c r="AO56" s="36" t="s">
        <v>551</v>
      </c>
      <c r="BA56" s="37" t="s">
        <v>233</v>
      </c>
      <c r="BI56" s="37" t="s">
        <v>904</v>
      </c>
    </row>
    <row r="57" spans="4:61" x14ac:dyDescent="0.3">
      <c r="D57" t="s">
        <v>104</v>
      </c>
      <c r="E57" t="s">
        <v>48</v>
      </c>
      <c r="U57" s="37" t="s">
        <v>104</v>
      </c>
      <c r="AC57" s="36" t="s">
        <v>297</v>
      </c>
      <c r="AO57" s="37" t="s">
        <v>552</v>
      </c>
      <c r="BA57" s="36" t="s">
        <v>788</v>
      </c>
      <c r="BI57" s="36" t="s">
        <v>905</v>
      </c>
    </row>
    <row r="58" spans="4:61" x14ac:dyDescent="0.3">
      <c r="D58" t="s">
        <v>105</v>
      </c>
      <c r="E58" t="s">
        <v>48</v>
      </c>
      <c r="U58" s="36" t="s">
        <v>105</v>
      </c>
      <c r="AC58" s="37" t="s">
        <v>298</v>
      </c>
      <c r="AO58" s="36" t="s">
        <v>553</v>
      </c>
      <c r="BA58" s="37" t="s">
        <v>149</v>
      </c>
      <c r="BI58" s="37" t="s">
        <v>906</v>
      </c>
    </row>
    <row r="59" spans="4:61" x14ac:dyDescent="0.3">
      <c r="D59" t="s">
        <v>106</v>
      </c>
      <c r="E59" t="s">
        <v>48</v>
      </c>
      <c r="U59" s="37" t="s">
        <v>106</v>
      </c>
      <c r="AC59" s="36" t="s">
        <v>299</v>
      </c>
      <c r="AO59" s="37" t="s">
        <v>554</v>
      </c>
      <c r="BA59" s="36" t="s">
        <v>789</v>
      </c>
      <c r="BI59" s="36" t="s">
        <v>907</v>
      </c>
    </row>
    <row r="60" spans="4:61" x14ac:dyDescent="0.3">
      <c r="D60" t="s">
        <v>107</v>
      </c>
      <c r="E60" t="s">
        <v>48</v>
      </c>
      <c r="U60" s="36" t="s">
        <v>107</v>
      </c>
      <c r="AC60" s="37" t="s">
        <v>300</v>
      </c>
      <c r="AO60" s="36" t="s">
        <v>121</v>
      </c>
      <c r="BA60" s="37" t="s">
        <v>790</v>
      </c>
      <c r="BI60" s="37" t="s">
        <v>908</v>
      </c>
    </row>
    <row r="61" spans="4:61" x14ac:dyDescent="0.3">
      <c r="D61" t="s">
        <v>108</v>
      </c>
      <c r="E61" t="s">
        <v>48</v>
      </c>
      <c r="U61" s="37" t="s">
        <v>108</v>
      </c>
      <c r="AC61" s="36" t="s">
        <v>301</v>
      </c>
      <c r="AO61" s="37" t="s">
        <v>555</v>
      </c>
      <c r="BA61" s="36" t="s">
        <v>791</v>
      </c>
      <c r="BI61" s="36" t="s">
        <v>909</v>
      </c>
    </row>
    <row r="62" spans="4:61" x14ac:dyDescent="0.3">
      <c r="D62" t="s">
        <v>109</v>
      </c>
      <c r="E62" t="s">
        <v>48</v>
      </c>
      <c r="U62" s="36" t="s">
        <v>109</v>
      </c>
      <c r="AC62" s="37" t="s">
        <v>302</v>
      </c>
      <c r="AO62" s="36" t="s">
        <v>556</v>
      </c>
      <c r="BA62" s="37" t="s">
        <v>792</v>
      </c>
      <c r="BI62" s="37" t="s">
        <v>910</v>
      </c>
    </row>
    <row r="63" spans="4:61" x14ac:dyDescent="0.3">
      <c r="D63" t="s">
        <v>110</v>
      </c>
      <c r="E63" t="s">
        <v>48</v>
      </c>
      <c r="U63" s="37" t="s">
        <v>110</v>
      </c>
      <c r="AC63" s="36" t="s">
        <v>303</v>
      </c>
      <c r="AO63" s="37" t="s">
        <v>557</v>
      </c>
      <c r="BA63" s="36" t="s">
        <v>793</v>
      </c>
      <c r="BI63" s="36" t="s">
        <v>911</v>
      </c>
    </row>
    <row r="64" spans="4:61" x14ac:dyDescent="0.3">
      <c r="D64" t="s">
        <v>111</v>
      </c>
      <c r="E64" t="s">
        <v>48</v>
      </c>
      <c r="U64" s="36" t="s">
        <v>111</v>
      </c>
      <c r="AC64" s="37" t="s">
        <v>304</v>
      </c>
      <c r="AO64" s="36" t="s">
        <v>558</v>
      </c>
      <c r="BA64" s="37" t="s">
        <v>794</v>
      </c>
      <c r="BI64" s="37" t="s">
        <v>912</v>
      </c>
    </row>
    <row r="65" spans="4:61" x14ac:dyDescent="0.3">
      <c r="D65" t="s">
        <v>112</v>
      </c>
      <c r="E65" t="s">
        <v>48</v>
      </c>
      <c r="U65" s="37" t="s">
        <v>112</v>
      </c>
      <c r="AC65" s="36" t="s">
        <v>305</v>
      </c>
      <c r="AO65" s="37" t="s">
        <v>167</v>
      </c>
      <c r="BA65" s="38" t="s">
        <v>795</v>
      </c>
      <c r="BI65" s="36" t="s">
        <v>913</v>
      </c>
    </row>
    <row r="66" spans="4:61" x14ac:dyDescent="0.3">
      <c r="D66" t="s">
        <v>113</v>
      </c>
      <c r="E66" t="s">
        <v>48</v>
      </c>
      <c r="U66" s="36" t="s">
        <v>113</v>
      </c>
      <c r="AC66" s="37" t="s">
        <v>306</v>
      </c>
      <c r="AO66" s="36" t="s">
        <v>559</v>
      </c>
      <c r="BI66" s="37" t="s">
        <v>914</v>
      </c>
    </row>
    <row r="67" spans="4:61" x14ac:dyDescent="0.3">
      <c r="D67" t="s">
        <v>114</v>
      </c>
      <c r="E67" t="s">
        <v>48</v>
      </c>
      <c r="U67" s="37" t="s">
        <v>114</v>
      </c>
      <c r="AC67" s="36" t="s">
        <v>307</v>
      </c>
      <c r="AO67" s="37" t="s">
        <v>560</v>
      </c>
      <c r="BI67" s="36" t="s">
        <v>133</v>
      </c>
    </row>
    <row r="68" spans="4:61" x14ac:dyDescent="0.3">
      <c r="D68" t="s">
        <v>115</v>
      </c>
      <c r="E68" t="s">
        <v>48</v>
      </c>
      <c r="U68" s="36" t="s">
        <v>115</v>
      </c>
      <c r="AC68" s="37" t="s">
        <v>308</v>
      </c>
      <c r="AO68" s="36" t="s">
        <v>561</v>
      </c>
      <c r="BI68" s="37" t="s">
        <v>915</v>
      </c>
    </row>
    <row r="69" spans="4:61" x14ac:dyDescent="0.3">
      <c r="D69" t="s">
        <v>116</v>
      </c>
      <c r="E69" t="s">
        <v>48</v>
      </c>
      <c r="U69" s="37" t="s">
        <v>116</v>
      </c>
      <c r="AC69" s="36" t="s">
        <v>309</v>
      </c>
      <c r="AO69" s="37" t="s">
        <v>562</v>
      </c>
      <c r="BI69" s="36" t="s">
        <v>916</v>
      </c>
    </row>
    <row r="70" spans="4:61" x14ac:dyDescent="0.3">
      <c r="D70" t="s">
        <v>117</v>
      </c>
      <c r="E70" t="s">
        <v>48</v>
      </c>
      <c r="U70" s="36" t="s">
        <v>117</v>
      </c>
      <c r="AC70" s="37" t="s">
        <v>310</v>
      </c>
      <c r="AO70" s="36" t="s">
        <v>563</v>
      </c>
      <c r="BI70" s="37" t="s">
        <v>917</v>
      </c>
    </row>
    <row r="71" spans="4:61" x14ac:dyDescent="0.3">
      <c r="D71" t="s">
        <v>118</v>
      </c>
      <c r="E71" t="s">
        <v>48</v>
      </c>
      <c r="U71" s="37" t="s">
        <v>118</v>
      </c>
      <c r="AC71" s="36" t="s">
        <v>311</v>
      </c>
      <c r="AO71" s="37" t="s">
        <v>564</v>
      </c>
      <c r="BI71" s="36" t="s">
        <v>918</v>
      </c>
    </row>
    <row r="72" spans="4:61" x14ac:dyDescent="0.3">
      <c r="D72" t="s">
        <v>119</v>
      </c>
      <c r="E72" t="s">
        <v>48</v>
      </c>
      <c r="U72" s="36" t="s">
        <v>119</v>
      </c>
      <c r="AC72" s="37" t="s">
        <v>312</v>
      </c>
      <c r="AO72" s="36" t="s">
        <v>565</v>
      </c>
      <c r="BI72" s="37" t="s">
        <v>919</v>
      </c>
    </row>
    <row r="73" spans="4:61" x14ac:dyDescent="0.3">
      <c r="D73" t="s">
        <v>120</v>
      </c>
      <c r="E73" t="s">
        <v>48</v>
      </c>
      <c r="U73" s="37" t="s">
        <v>120</v>
      </c>
      <c r="AC73" s="36" t="s">
        <v>313</v>
      </c>
      <c r="AO73" s="37" t="s">
        <v>566</v>
      </c>
      <c r="BI73" s="36" t="s">
        <v>920</v>
      </c>
    </row>
    <row r="74" spans="4:61" x14ac:dyDescent="0.3">
      <c r="D74" t="s">
        <v>121</v>
      </c>
      <c r="E74" t="s">
        <v>48</v>
      </c>
      <c r="U74" s="36" t="s">
        <v>121</v>
      </c>
      <c r="AC74" s="37" t="s">
        <v>314</v>
      </c>
      <c r="AO74" s="36" t="s">
        <v>567</v>
      </c>
      <c r="BI74" s="37" t="s">
        <v>921</v>
      </c>
    </row>
    <row r="75" spans="4:61" x14ac:dyDescent="0.3">
      <c r="D75" t="s">
        <v>122</v>
      </c>
      <c r="E75" t="s">
        <v>48</v>
      </c>
      <c r="U75" s="37" t="s">
        <v>122</v>
      </c>
      <c r="AC75" s="36" t="s">
        <v>315</v>
      </c>
      <c r="AO75" s="37" t="s">
        <v>568</v>
      </c>
      <c r="BI75" s="36" t="s">
        <v>922</v>
      </c>
    </row>
    <row r="76" spans="4:61" x14ac:dyDescent="0.3">
      <c r="D76" t="s">
        <v>123</v>
      </c>
      <c r="E76" t="s">
        <v>48</v>
      </c>
      <c r="U76" s="36" t="s">
        <v>123</v>
      </c>
      <c r="AC76" s="37" t="s">
        <v>316</v>
      </c>
      <c r="AO76" s="36" t="s">
        <v>569</v>
      </c>
      <c r="BI76" s="37" t="s">
        <v>149</v>
      </c>
    </row>
    <row r="77" spans="4:61" x14ac:dyDescent="0.3">
      <c r="D77" t="s">
        <v>124</v>
      </c>
      <c r="E77" t="s">
        <v>48</v>
      </c>
      <c r="U77" s="37" t="s">
        <v>124</v>
      </c>
      <c r="AC77" s="36" t="s">
        <v>317</v>
      </c>
      <c r="AO77" s="37" t="s">
        <v>570</v>
      </c>
      <c r="BI77" s="36" t="s">
        <v>923</v>
      </c>
    </row>
    <row r="78" spans="4:61" x14ac:dyDescent="0.3">
      <c r="D78" t="s">
        <v>125</v>
      </c>
      <c r="E78" t="s">
        <v>48</v>
      </c>
      <c r="U78" s="36" t="s">
        <v>125</v>
      </c>
      <c r="AC78" s="37" t="s">
        <v>318</v>
      </c>
      <c r="AO78" s="36" t="s">
        <v>571</v>
      </c>
      <c r="BI78" s="37" t="s">
        <v>924</v>
      </c>
    </row>
    <row r="79" spans="4:61" x14ac:dyDescent="0.3">
      <c r="D79" t="s">
        <v>126</v>
      </c>
      <c r="E79" t="s">
        <v>48</v>
      </c>
      <c r="U79" s="37" t="s">
        <v>126</v>
      </c>
      <c r="AC79" s="36" t="s">
        <v>319</v>
      </c>
      <c r="AO79" s="37" t="s">
        <v>572</v>
      </c>
      <c r="BI79" s="36" t="s">
        <v>925</v>
      </c>
    </row>
    <row r="80" spans="4:61" x14ac:dyDescent="0.3">
      <c r="D80" t="s">
        <v>127</v>
      </c>
      <c r="E80" t="s">
        <v>48</v>
      </c>
      <c r="U80" s="36" t="s">
        <v>127</v>
      </c>
      <c r="AC80" s="37" t="s">
        <v>320</v>
      </c>
      <c r="AO80" s="36" t="s">
        <v>573</v>
      </c>
      <c r="BI80" s="37" t="s">
        <v>926</v>
      </c>
    </row>
    <row r="81" spans="4:61" x14ac:dyDescent="0.3">
      <c r="D81" t="s">
        <v>128</v>
      </c>
      <c r="E81" t="s">
        <v>48</v>
      </c>
      <c r="U81" s="37" t="s">
        <v>128</v>
      </c>
      <c r="AC81" s="36" t="s">
        <v>321</v>
      </c>
      <c r="AO81" s="37" t="s">
        <v>139</v>
      </c>
      <c r="BI81" s="36" t="s">
        <v>439</v>
      </c>
    </row>
    <row r="82" spans="4:61" x14ac:dyDescent="0.3">
      <c r="D82" t="s">
        <v>129</v>
      </c>
      <c r="E82" t="s">
        <v>48</v>
      </c>
      <c r="U82" s="36" t="s">
        <v>129</v>
      </c>
      <c r="AC82" s="37" t="s">
        <v>322</v>
      </c>
      <c r="AO82" s="36" t="s">
        <v>574</v>
      </c>
      <c r="BI82" s="37" t="s">
        <v>927</v>
      </c>
    </row>
    <row r="83" spans="4:61" x14ac:dyDescent="0.3">
      <c r="D83" t="s">
        <v>130</v>
      </c>
      <c r="E83" t="s">
        <v>48</v>
      </c>
      <c r="U83" s="37" t="s">
        <v>130</v>
      </c>
      <c r="AC83" s="36" t="s">
        <v>323</v>
      </c>
      <c r="AO83" s="37" t="s">
        <v>575</v>
      </c>
      <c r="BI83" s="36" t="s">
        <v>928</v>
      </c>
    </row>
    <row r="84" spans="4:61" x14ac:dyDescent="0.3">
      <c r="D84" t="s">
        <v>131</v>
      </c>
      <c r="E84" t="s">
        <v>48</v>
      </c>
      <c r="U84" s="36" t="s">
        <v>131</v>
      </c>
      <c r="AC84" s="37" t="s">
        <v>324</v>
      </c>
      <c r="AO84" s="36" t="s">
        <v>576</v>
      </c>
      <c r="BI84" s="37" t="s">
        <v>929</v>
      </c>
    </row>
    <row r="85" spans="4:61" x14ac:dyDescent="0.3">
      <c r="D85" t="s">
        <v>132</v>
      </c>
      <c r="E85" t="s">
        <v>48</v>
      </c>
      <c r="U85" s="37" t="s">
        <v>132</v>
      </c>
      <c r="AC85" s="36" t="s">
        <v>325</v>
      </c>
      <c r="AO85" s="37" t="s">
        <v>577</v>
      </c>
      <c r="BI85" s="36" t="s">
        <v>930</v>
      </c>
    </row>
    <row r="86" spans="4:61" x14ac:dyDescent="0.3">
      <c r="D86" t="s">
        <v>133</v>
      </c>
      <c r="E86" t="s">
        <v>48</v>
      </c>
      <c r="U86" s="36" t="s">
        <v>133</v>
      </c>
      <c r="AC86" s="37" t="s">
        <v>326</v>
      </c>
      <c r="AO86" s="36" t="s">
        <v>578</v>
      </c>
      <c r="BI86" s="37" t="s">
        <v>931</v>
      </c>
    </row>
    <row r="87" spans="4:61" x14ac:dyDescent="0.3">
      <c r="D87" t="s">
        <v>134</v>
      </c>
      <c r="E87" t="s">
        <v>48</v>
      </c>
      <c r="U87" s="37" t="s">
        <v>134</v>
      </c>
      <c r="AC87" s="36" t="s">
        <v>327</v>
      </c>
      <c r="AO87" s="37" t="s">
        <v>579</v>
      </c>
      <c r="BI87" s="36" t="s">
        <v>243</v>
      </c>
    </row>
    <row r="88" spans="4:61" x14ac:dyDescent="0.3">
      <c r="D88" t="s">
        <v>135</v>
      </c>
      <c r="E88" t="s">
        <v>48</v>
      </c>
      <c r="U88" s="36" t="s">
        <v>135</v>
      </c>
      <c r="AC88" s="37" t="s">
        <v>328</v>
      </c>
      <c r="AO88" s="36" t="s">
        <v>580</v>
      </c>
      <c r="BI88" s="39" t="s">
        <v>932</v>
      </c>
    </row>
    <row r="89" spans="4:61" x14ac:dyDescent="0.3">
      <c r="D89" t="s">
        <v>136</v>
      </c>
      <c r="E89" t="s">
        <v>48</v>
      </c>
      <c r="U89" s="37" t="s">
        <v>136</v>
      </c>
      <c r="AC89" s="36" t="s">
        <v>329</v>
      </c>
      <c r="AO89" s="37" t="s">
        <v>581</v>
      </c>
    </row>
    <row r="90" spans="4:61" x14ac:dyDescent="0.3">
      <c r="D90" t="s">
        <v>137</v>
      </c>
      <c r="E90" t="s">
        <v>48</v>
      </c>
      <c r="U90" s="36" t="s">
        <v>137</v>
      </c>
      <c r="AC90" s="37" t="s">
        <v>330</v>
      </c>
      <c r="AO90" s="36" t="s">
        <v>582</v>
      </c>
    </row>
    <row r="91" spans="4:61" x14ac:dyDescent="0.3">
      <c r="D91" t="s">
        <v>138</v>
      </c>
      <c r="E91" t="s">
        <v>48</v>
      </c>
      <c r="U91" s="37" t="s">
        <v>138</v>
      </c>
      <c r="AC91" s="36" t="s">
        <v>331</v>
      </c>
      <c r="AO91" s="37" t="s">
        <v>583</v>
      </c>
    </row>
    <row r="92" spans="4:61" x14ac:dyDescent="0.3">
      <c r="D92" t="s">
        <v>139</v>
      </c>
      <c r="E92" t="s">
        <v>48</v>
      </c>
      <c r="U92" s="36" t="s">
        <v>139</v>
      </c>
      <c r="AC92" s="37" t="s">
        <v>332</v>
      </c>
      <c r="AO92" s="36" t="s">
        <v>584</v>
      </c>
    </row>
    <row r="93" spans="4:61" x14ac:dyDescent="0.3">
      <c r="D93" t="s">
        <v>140</v>
      </c>
      <c r="E93" t="s">
        <v>48</v>
      </c>
      <c r="U93" s="37" t="s">
        <v>140</v>
      </c>
      <c r="AC93" s="36" t="s">
        <v>333</v>
      </c>
      <c r="AO93" s="37" t="s">
        <v>585</v>
      </c>
    </row>
    <row r="94" spans="4:61" x14ac:dyDescent="0.3">
      <c r="D94" t="s">
        <v>141</v>
      </c>
      <c r="E94" t="s">
        <v>48</v>
      </c>
      <c r="U94" s="36" t="s">
        <v>141</v>
      </c>
      <c r="AC94" s="37" t="s">
        <v>334</v>
      </c>
      <c r="AO94" s="36" t="s">
        <v>586</v>
      </c>
    </row>
    <row r="95" spans="4:61" x14ac:dyDescent="0.3">
      <c r="D95" t="s">
        <v>142</v>
      </c>
      <c r="E95" t="s">
        <v>48</v>
      </c>
      <c r="U95" s="37" t="s">
        <v>142</v>
      </c>
      <c r="AC95" s="36" t="s">
        <v>335</v>
      </c>
      <c r="AO95" s="37" t="s">
        <v>587</v>
      </c>
    </row>
    <row r="96" spans="4:61" x14ac:dyDescent="0.3">
      <c r="D96" t="s">
        <v>143</v>
      </c>
      <c r="E96" t="s">
        <v>48</v>
      </c>
      <c r="U96" s="36" t="s">
        <v>143</v>
      </c>
      <c r="AC96" s="37" t="s">
        <v>336</v>
      </c>
      <c r="AO96" s="36" t="s">
        <v>588</v>
      </c>
    </row>
    <row r="97" spans="4:41" x14ac:dyDescent="0.3">
      <c r="D97" t="s">
        <v>144</v>
      </c>
      <c r="E97" t="s">
        <v>48</v>
      </c>
      <c r="U97" s="37" t="s">
        <v>144</v>
      </c>
      <c r="AC97" s="36" t="s">
        <v>337</v>
      </c>
      <c r="AO97" s="37" t="s">
        <v>589</v>
      </c>
    </row>
    <row r="98" spans="4:41" x14ac:dyDescent="0.3">
      <c r="D98" t="s">
        <v>145</v>
      </c>
      <c r="E98" t="s">
        <v>48</v>
      </c>
      <c r="U98" s="36" t="s">
        <v>145</v>
      </c>
      <c r="AC98" s="37" t="s">
        <v>338</v>
      </c>
      <c r="AO98" s="36" t="s">
        <v>590</v>
      </c>
    </row>
    <row r="99" spans="4:41" x14ac:dyDescent="0.3">
      <c r="D99" t="s">
        <v>146</v>
      </c>
      <c r="E99" t="s">
        <v>48</v>
      </c>
      <c r="U99" s="37" t="s">
        <v>146</v>
      </c>
      <c r="AC99" s="36" t="s">
        <v>339</v>
      </c>
      <c r="AO99" s="37" t="s">
        <v>591</v>
      </c>
    </row>
    <row r="100" spans="4:41" x14ac:dyDescent="0.3">
      <c r="D100" t="s">
        <v>147</v>
      </c>
      <c r="E100" t="s">
        <v>48</v>
      </c>
      <c r="U100" s="36" t="s">
        <v>147</v>
      </c>
      <c r="AC100" s="37" t="s">
        <v>340</v>
      </c>
      <c r="AO100" s="36" t="s">
        <v>592</v>
      </c>
    </row>
    <row r="101" spans="4:41" x14ac:dyDescent="0.3">
      <c r="D101" t="s">
        <v>148</v>
      </c>
      <c r="E101" t="s">
        <v>48</v>
      </c>
      <c r="U101" s="37" t="s">
        <v>148</v>
      </c>
      <c r="AC101" s="36" t="s">
        <v>341</v>
      </c>
      <c r="AO101" s="37" t="s">
        <v>593</v>
      </c>
    </row>
    <row r="102" spans="4:41" x14ac:dyDescent="0.3">
      <c r="D102" t="s">
        <v>149</v>
      </c>
      <c r="E102" t="s">
        <v>48</v>
      </c>
      <c r="U102" s="36" t="s">
        <v>149</v>
      </c>
      <c r="AC102" s="37" t="s">
        <v>342</v>
      </c>
      <c r="AO102" s="36" t="s">
        <v>594</v>
      </c>
    </row>
    <row r="103" spans="4:41" x14ac:dyDescent="0.3">
      <c r="D103" t="s">
        <v>150</v>
      </c>
      <c r="E103" t="s">
        <v>48</v>
      </c>
      <c r="U103" s="37" t="s">
        <v>150</v>
      </c>
      <c r="AC103" s="36" t="s">
        <v>343</v>
      </c>
      <c r="AO103" s="37" t="s">
        <v>595</v>
      </c>
    </row>
    <row r="104" spans="4:41" x14ac:dyDescent="0.3">
      <c r="D104" t="s">
        <v>151</v>
      </c>
      <c r="E104" t="s">
        <v>48</v>
      </c>
      <c r="U104" s="36" t="s">
        <v>151</v>
      </c>
      <c r="AC104" s="37" t="s">
        <v>344</v>
      </c>
      <c r="AO104" s="36" t="s">
        <v>596</v>
      </c>
    </row>
    <row r="105" spans="4:41" x14ac:dyDescent="0.3">
      <c r="D105" t="s">
        <v>152</v>
      </c>
      <c r="E105" t="s">
        <v>48</v>
      </c>
      <c r="U105" s="37" t="s">
        <v>152</v>
      </c>
      <c r="AC105" s="36" t="s">
        <v>345</v>
      </c>
      <c r="AO105" s="37" t="s">
        <v>597</v>
      </c>
    </row>
    <row r="106" spans="4:41" x14ac:dyDescent="0.3">
      <c r="D106" t="s">
        <v>153</v>
      </c>
      <c r="E106" t="s">
        <v>48</v>
      </c>
      <c r="U106" s="36" t="s">
        <v>153</v>
      </c>
      <c r="AC106" s="37" t="s">
        <v>346</v>
      </c>
      <c r="AO106" s="36" t="s">
        <v>598</v>
      </c>
    </row>
    <row r="107" spans="4:41" x14ac:dyDescent="0.3">
      <c r="D107" t="s">
        <v>154</v>
      </c>
      <c r="E107" t="s">
        <v>48</v>
      </c>
      <c r="U107" s="37" t="s">
        <v>154</v>
      </c>
      <c r="AC107" s="36" t="s">
        <v>347</v>
      </c>
      <c r="AO107" s="37" t="s">
        <v>599</v>
      </c>
    </row>
    <row r="108" spans="4:41" x14ac:dyDescent="0.3">
      <c r="D108" t="s">
        <v>155</v>
      </c>
      <c r="E108" t="s">
        <v>48</v>
      </c>
      <c r="U108" s="36" t="s">
        <v>155</v>
      </c>
      <c r="AC108" s="37" t="s">
        <v>348</v>
      </c>
      <c r="AO108" s="36" t="s">
        <v>600</v>
      </c>
    </row>
    <row r="109" spans="4:41" x14ac:dyDescent="0.3">
      <c r="D109" t="s">
        <v>156</v>
      </c>
      <c r="E109" t="s">
        <v>48</v>
      </c>
      <c r="U109" s="37" t="s">
        <v>156</v>
      </c>
      <c r="AC109" s="36" t="s">
        <v>349</v>
      </c>
      <c r="AO109" s="37" t="s">
        <v>601</v>
      </c>
    </row>
    <row r="110" spans="4:41" x14ac:dyDescent="0.3">
      <c r="D110" t="s">
        <v>157</v>
      </c>
      <c r="E110" t="s">
        <v>48</v>
      </c>
      <c r="U110" s="36" t="s">
        <v>157</v>
      </c>
      <c r="AC110" s="37" t="s">
        <v>350</v>
      </c>
      <c r="AO110" s="36" t="s">
        <v>602</v>
      </c>
    </row>
    <row r="111" spans="4:41" x14ac:dyDescent="0.3">
      <c r="D111" t="s">
        <v>158</v>
      </c>
      <c r="E111" t="s">
        <v>48</v>
      </c>
      <c r="U111" s="37" t="s">
        <v>158</v>
      </c>
      <c r="AC111" s="36" t="s">
        <v>351</v>
      </c>
      <c r="AO111" s="37" t="s">
        <v>603</v>
      </c>
    </row>
    <row r="112" spans="4:41" x14ac:dyDescent="0.3">
      <c r="D112" t="s">
        <v>159</v>
      </c>
      <c r="E112" t="s">
        <v>48</v>
      </c>
      <c r="U112" s="36" t="s">
        <v>159</v>
      </c>
      <c r="AC112" s="37" t="s">
        <v>352</v>
      </c>
      <c r="AO112" s="36" t="s">
        <v>604</v>
      </c>
    </row>
    <row r="113" spans="4:41" x14ac:dyDescent="0.3">
      <c r="D113" t="s">
        <v>160</v>
      </c>
      <c r="E113" t="s">
        <v>48</v>
      </c>
      <c r="U113" s="37" t="s">
        <v>160</v>
      </c>
      <c r="AC113" s="36" t="s">
        <v>353</v>
      </c>
      <c r="AO113" s="37" t="s">
        <v>605</v>
      </c>
    </row>
    <row r="114" spans="4:41" x14ac:dyDescent="0.3">
      <c r="D114" t="s">
        <v>161</v>
      </c>
      <c r="E114" t="s">
        <v>48</v>
      </c>
      <c r="U114" s="36" t="s">
        <v>161</v>
      </c>
      <c r="AC114" s="37" t="s">
        <v>354</v>
      </c>
      <c r="AO114" s="36" t="s">
        <v>606</v>
      </c>
    </row>
    <row r="115" spans="4:41" x14ac:dyDescent="0.3">
      <c r="D115" t="s">
        <v>162</v>
      </c>
      <c r="E115" t="s">
        <v>48</v>
      </c>
      <c r="U115" s="37" t="s">
        <v>162</v>
      </c>
      <c r="AC115" s="36" t="s">
        <v>355</v>
      </c>
      <c r="AO115" s="37" t="s">
        <v>607</v>
      </c>
    </row>
    <row r="116" spans="4:41" x14ac:dyDescent="0.3">
      <c r="D116" t="s">
        <v>163</v>
      </c>
      <c r="E116" t="s">
        <v>48</v>
      </c>
      <c r="U116" s="36" t="s">
        <v>163</v>
      </c>
      <c r="AC116" s="37" t="s">
        <v>356</v>
      </c>
      <c r="AO116" s="36" t="s">
        <v>608</v>
      </c>
    </row>
    <row r="117" spans="4:41" x14ac:dyDescent="0.3">
      <c r="D117" t="s">
        <v>164</v>
      </c>
      <c r="E117" t="s">
        <v>48</v>
      </c>
      <c r="U117" s="37" t="s">
        <v>164</v>
      </c>
      <c r="AC117" s="36" t="s">
        <v>357</v>
      </c>
      <c r="AO117" s="39" t="s">
        <v>609</v>
      </c>
    </row>
    <row r="118" spans="4:41" x14ac:dyDescent="0.3">
      <c r="D118" t="s">
        <v>165</v>
      </c>
      <c r="E118" t="s">
        <v>48</v>
      </c>
      <c r="U118" s="36" t="s">
        <v>165</v>
      </c>
      <c r="AC118" s="37" t="s">
        <v>358</v>
      </c>
    </row>
    <row r="119" spans="4:41" x14ac:dyDescent="0.3">
      <c r="D119" t="s">
        <v>166</v>
      </c>
      <c r="E119" t="s">
        <v>48</v>
      </c>
      <c r="U119" s="37" t="s">
        <v>166</v>
      </c>
      <c r="AC119" s="36" t="s">
        <v>359</v>
      </c>
    </row>
    <row r="120" spans="4:41" x14ac:dyDescent="0.3">
      <c r="D120" t="s">
        <v>167</v>
      </c>
      <c r="E120" t="s">
        <v>48</v>
      </c>
      <c r="U120" s="36" t="s">
        <v>167</v>
      </c>
      <c r="AC120" s="37" t="s">
        <v>360</v>
      </c>
    </row>
    <row r="121" spans="4:41" x14ac:dyDescent="0.3">
      <c r="D121" t="s">
        <v>168</v>
      </c>
      <c r="E121" t="s">
        <v>48</v>
      </c>
      <c r="U121" s="37" t="s">
        <v>168</v>
      </c>
      <c r="AC121" s="36" t="s">
        <v>361</v>
      </c>
    </row>
    <row r="122" spans="4:41" x14ac:dyDescent="0.3">
      <c r="D122" t="s">
        <v>169</v>
      </c>
      <c r="E122" t="s">
        <v>48</v>
      </c>
      <c r="U122" s="36" t="s">
        <v>169</v>
      </c>
      <c r="AC122" s="37" t="s">
        <v>362</v>
      </c>
    </row>
    <row r="123" spans="4:41" x14ac:dyDescent="0.3">
      <c r="D123" t="s">
        <v>170</v>
      </c>
      <c r="E123" t="s">
        <v>48</v>
      </c>
      <c r="U123" s="37" t="s">
        <v>170</v>
      </c>
      <c r="AC123" s="36" t="s">
        <v>363</v>
      </c>
    </row>
    <row r="124" spans="4:41" x14ac:dyDescent="0.3">
      <c r="D124" t="s">
        <v>171</v>
      </c>
      <c r="E124" t="s">
        <v>48</v>
      </c>
      <c r="U124" s="36" t="s">
        <v>171</v>
      </c>
      <c r="AC124" s="39" t="s">
        <v>364</v>
      </c>
    </row>
    <row r="125" spans="4:41" x14ac:dyDescent="0.3">
      <c r="D125" t="s">
        <v>172</v>
      </c>
      <c r="E125" t="s">
        <v>48</v>
      </c>
      <c r="U125" s="37" t="s">
        <v>172</v>
      </c>
    </row>
    <row r="126" spans="4:41" x14ac:dyDescent="0.3">
      <c r="D126" t="s">
        <v>173</v>
      </c>
      <c r="E126" t="s">
        <v>48</v>
      </c>
      <c r="U126" s="38" t="s">
        <v>173</v>
      </c>
    </row>
    <row r="127" spans="4:41" x14ac:dyDescent="0.3">
      <c r="D127" t="s">
        <v>175</v>
      </c>
      <c r="E127" t="s">
        <v>174</v>
      </c>
    </row>
    <row r="128" spans="4:41" x14ac:dyDescent="0.3">
      <c r="D128" t="s">
        <v>176</v>
      </c>
      <c r="E128" t="s">
        <v>174</v>
      </c>
    </row>
    <row r="129" spans="4:5" x14ac:dyDescent="0.3">
      <c r="D129" t="s">
        <v>177</v>
      </c>
      <c r="E129" t="s">
        <v>174</v>
      </c>
    </row>
    <row r="130" spans="4:5" x14ac:dyDescent="0.3">
      <c r="D130" t="s">
        <v>178</v>
      </c>
      <c r="E130" t="s">
        <v>174</v>
      </c>
    </row>
    <row r="131" spans="4:5" x14ac:dyDescent="0.3">
      <c r="D131" t="s">
        <v>179</v>
      </c>
      <c r="E131" t="s">
        <v>174</v>
      </c>
    </row>
    <row r="132" spans="4:5" x14ac:dyDescent="0.3">
      <c r="D132" t="s">
        <v>180</v>
      </c>
      <c r="E132" t="s">
        <v>174</v>
      </c>
    </row>
    <row r="133" spans="4:5" x14ac:dyDescent="0.3">
      <c r="D133" t="s">
        <v>181</v>
      </c>
      <c r="E133" t="s">
        <v>174</v>
      </c>
    </row>
    <row r="134" spans="4:5" x14ac:dyDescent="0.3">
      <c r="D134" t="s">
        <v>182</v>
      </c>
      <c r="E134" t="s">
        <v>174</v>
      </c>
    </row>
    <row r="135" spans="4:5" x14ac:dyDescent="0.3">
      <c r="D135" t="s">
        <v>183</v>
      </c>
      <c r="E135" t="s">
        <v>174</v>
      </c>
    </row>
    <row r="136" spans="4:5" x14ac:dyDescent="0.3">
      <c r="D136" t="s">
        <v>184</v>
      </c>
      <c r="E136" t="s">
        <v>174</v>
      </c>
    </row>
    <row r="137" spans="4:5" x14ac:dyDescent="0.3">
      <c r="D137" t="s">
        <v>185</v>
      </c>
      <c r="E137" t="s">
        <v>174</v>
      </c>
    </row>
    <row r="138" spans="4:5" x14ac:dyDescent="0.3">
      <c r="D138" t="s">
        <v>186</v>
      </c>
      <c r="E138" t="s">
        <v>174</v>
      </c>
    </row>
    <row r="139" spans="4:5" x14ac:dyDescent="0.3">
      <c r="D139" t="s">
        <v>187</v>
      </c>
      <c r="E139" t="s">
        <v>174</v>
      </c>
    </row>
    <row r="140" spans="4:5" x14ac:dyDescent="0.3">
      <c r="D140" t="s">
        <v>188</v>
      </c>
      <c r="E140" t="s">
        <v>174</v>
      </c>
    </row>
    <row r="141" spans="4:5" x14ac:dyDescent="0.3">
      <c r="D141" t="s">
        <v>189</v>
      </c>
      <c r="E141" t="s">
        <v>174</v>
      </c>
    </row>
    <row r="142" spans="4:5" x14ac:dyDescent="0.3">
      <c r="D142" t="s">
        <v>190</v>
      </c>
      <c r="E142" t="s">
        <v>174</v>
      </c>
    </row>
    <row r="143" spans="4:5" x14ac:dyDescent="0.3">
      <c r="D143" t="s">
        <v>134</v>
      </c>
      <c r="E143" t="s">
        <v>174</v>
      </c>
    </row>
    <row r="144" spans="4:5" x14ac:dyDescent="0.3">
      <c r="D144" t="s">
        <v>191</v>
      </c>
      <c r="E144" t="s">
        <v>174</v>
      </c>
    </row>
    <row r="145" spans="4:5" x14ac:dyDescent="0.3">
      <c r="D145" t="s">
        <v>192</v>
      </c>
      <c r="E145" t="s">
        <v>174</v>
      </c>
    </row>
    <row r="146" spans="4:5" x14ac:dyDescent="0.3">
      <c r="D146" t="s">
        <v>193</v>
      </c>
      <c r="E146" t="s">
        <v>174</v>
      </c>
    </row>
    <row r="147" spans="4:5" x14ac:dyDescent="0.3">
      <c r="D147" t="s">
        <v>194</v>
      </c>
      <c r="E147" t="s">
        <v>174</v>
      </c>
    </row>
    <row r="148" spans="4:5" x14ac:dyDescent="0.3">
      <c r="D148" t="s">
        <v>195</v>
      </c>
      <c r="E148" t="s">
        <v>174</v>
      </c>
    </row>
    <row r="149" spans="4:5" x14ac:dyDescent="0.3">
      <c r="D149" t="s">
        <v>196</v>
      </c>
      <c r="E149" t="s">
        <v>174</v>
      </c>
    </row>
    <row r="150" spans="4:5" x14ac:dyDescent="0.3">
      <c r="D150" t="s">
        <v>197</v>
      </c>
      <c r="E150" t="s">
        <v>197</v>
      </c>
    </row>
    <row r="151" spans="4:5" x14ac:dyDescent="0.3">
      <c r="D151" t="s">
        <v>199</v>
      </c>
      <c r="E151" t="s">
        <v>198</v>
      </c>
    </row>
    <row r="152" spans="4:5" x14ac:dyDescent="0.3">
      <c r="D152" t="s">
        <v>200</v>
      </c>
      <c r="E152" t="s">
        <v>198</v>
      </c>
    </row>
    <row r="153" spans="4:5" x14ac:dyDescent="0.3">
      <c r="D153" t="s">
        <v>201</v>
      </c>
      <c r="E153" t="s">
        <v>198</v>
      </c>
    </row>
    <row r="154" spans="4:5" x14ac:dyDescent="0.3">
      <c r="D154" t="s">
        <v>202</v>
      </c>
      <c r="E154" t="s">
        <v>198</v>
      </c>
    </row>
    <row r="155" spans="4:5" x14ac:dyDescent="0.3">
      <c r="D155" t="s">
        <v>203</v>
      </c>
      <c r="E155" t="s">
        <v>198</v>
      </c>
    </row>
    <row r="156" spans="4:5" x14ac:dyDescent="0.3">
      <c r="D156" t="s">
        <v>204</v>
      </c>
      <c r="E156" t="s">
        <v>198</v>
      </c>
    </row>
    <row r="157" spans="4:5" x14ac:dyDescent="0.3">
      <c r="D157" t="s">
        <v>205</v>
      </c>
      <c r="E157" t="s">
        <v>198</v>
      </c>
    </row>
    <row r="158" spans="4:5" x14ac:dyDescent="0.3">
      <c r="D158" t="s">
        <v>206</v>
      </c>
      <c r="E158" t="s">
        <v>198</v>
      </c>
    </row>
    <row r="159" spans="4:5" x14ac:dyDescent="0.3">
      <c r="D159" t="s">
        <v>207</v>
      </c>
      <c r="E159" t="s">
        <v>198</v>
      </c>
    </row>
    <row r="160" spans="4:5" x14ac:dyDescent="0.3">
      <c r="D160" t="s">
        <v>208</v>
      </c>
      <c r="E160" t="s">
        <v>198</v>
      </c>
    </row>
    <row r="161" spans="4:5" x14ac:dyDescent="0.3">
      <c r="D161" t="s">
        <v>209</v>
      </c>
      <c r="E161" t="s">
        <v>198</v>
      </c>
    </row>
    <row r="162" spans="4:5" x14ac:dyDescent="0.3">
      <c r="D162" t="s">
        <v>210</v>
      </c>
      <c r="E162" t="s">
        <v>198</v>
      </c>
    </row>
    <row r="163" spans="4:5" x14ac:dyDescent="0.3">
      <c r="D163" t="s">
        <v>211</v>
      </c>
      <c r="E163" t="s">
        <v>198</v>
      </c>
    </row>
    <row r="164" spans="4:5" x14ac:dyDescent="0.3">
      <c r="D164" t="s">
        <v>212</v>
      </c>
      <c r="E164" t="s">
        <v>198</v>
      </c>
    </row>
    <row r="165" spans="4:5" x14ac:dyDescent="0.3">
      <c r="D165" t="s">
        <v>213</v>
      </c>
      <c r="E165" t="s">
        <v>198</v>
      </c>
    </row>
    <row r="166" spans="4:5" x14ac:dyDescent="0.3">
      <c r="D166" t="s">
        <v>214</v>
      </c>
      <c r="E166" t="s">
        <v>198</v>
      </c>
    </row>
    <row r="167" spans="4:5" x14ac:dyDescent="0.3">
      <c r="D167" t="s">
        <v>215</v>
      </c>
      <c r="E167" t="s">
        <v>198</v>
      </c>
    </row>
    <row r="168" spans="4:5" x14ac:dyDescent="0.3">
      <c r="D168" t="s">
        <v>216</v>
      </c>
      <c r="E168" t="s">
        <v>198</v>
      </c>
    </row>
    <row r="169" spans="4:5" x14ac:dyDescent="0.3">
      <c r="D169" t="s">
        <v>217</v>
      </c>
      <c r="E169" t="s">
        <v>198</v>
      </c>
    </row>
    <row r="170" spans="4:5" x14ac:dyDescent="0.3">
      <c r="D170" t="s">
        <v>218</v>
      </c>
      <c r="E170" t="s">
        <v>198</v>
      </c>
    </row>
    <row r="171" spans="4:5" x14ac:dyDescent="0.3">
      <c r="D171" t="s">
        <v>219</v>
      </c>
      <c r="E171" t="s">
        <v>198</v>
      </c>
    </row>
    <row r="172" spans="4:5" x14ac:dyDescent="0.3">
      <c r="D172" t="s">
        <v>220</v>
      </c>
      <c r="E172" t="s">
        <v>198</v>
      </c>
    </row>
    <row r="173" spans="4:5" x14ac:dyDescent="0.3">
      <c r="D173" t="s">
        <v>221</v>
      </c>
      <c r="E173" t="s">
        <v>198</v>
      </c>
    </row>
    <row r="174" spans="4:5" x14ac:dyDescent="0.3">
      <c r="D174" t="s">
        <v>222</v>
      </c>
      <c r="E174" t="s">
        <v>198</v>
      </c>
    </row>
    <row r="175" spans="4:5" x14ac:dyDescent="0.3">
      <c r="D175" t="s">
        <v>223</v>
      </c>
      <c r="E175" t="s">
        <v>198</v>
      </c>
    </row>
    <row r="176" spans="4:5" x14ac:dyDescent="0.3">
      <c r="D176" t="s">
        <v>224</v>
      </c>
      <c r="E176" t="s">
        <v>198</v>
      </c>
    </row>
    <row r="177" spans="4:5" x14ac:dyDescent="0.3">
      <c r="D177" t="s">
        <v>225</v>
      </c>
      <c r="E177" t="s">
        <v>198</v>
      </c>
    </row>
    <row r="178" spans="4:5" x14ac:dyDescent="0.3">
      <c r="D178" t="s">
        <v>226</v>
      </c>
      <c r="E178" t="s">
        <v>198</v>
      </c>
    </row>
    <row r="179" spans="4:5" x14ac:dyDescent="0.3">
      <c r="D179" t="s">
        <v>227</v>
      </c>
      <c r="E179" t="s">
        <v>198</v>
      </c>
    </row>
    <row r="180" spans="4:5" x14ac:dyDescent="0.3">
      <c r="D180" t="s">
        <v>228</v>
      </c>
      <c r="E180" t="s">
        <v>198</v>
      </c>
    </row>
    <row r="181" spans="4:5" x14ac:dyDescent="0.3">
      <c r="D181" t="s">
        <v>229</v>
      </c>
      <c r="E181" t="s">
        <v>198</v>
      </c>
    </row>
    <row r="182" spans="4:5" x14ac:dyDescent="0.3">
      <c r="D182" t="s">
        <v>230</v>
      </c>
      <c r="E182" t="s">
        <v>198</v>
      </c>
    </row>
    <row r="183" spans="4:5" x14ac:dyDescent="0.3">
      <c r="D183" t="s">
        <v>231</v>
      </c>
      <c r="E183" t="s">
        <v>198</v>
      </c>
    </row>
    <row r="184" spans="4:5" x14ac:dyDescent="0.3">
      <c r="D184" t="s">
        <v>232</v>
      </c>
      <c r="E184" t="s">
        <v>198</v>
      </c>
    </row>
    <row r="185" spans="4:5" x14ac:dyDescent="0.3">
      <c r="D185" t="s">
        <v>233</v>
      </c>
      <c r="E185" t="s">
        <v>198</v>
      </c>
    </row>
    <row r="186" spans="4:5" x14ac:dyDescent="0.3">
      <c r="D186" t="s">
        <v>234</v>
      </c>
      <c r="E186" t="s">
        <v>198</v>
      </c>
    </row>
    <row r="187" spans="4:5" x14ac:dyDescent="0.3">
      <c r="D187" t="s">
        <v>235</v>
      </c>
      <c r="E187" t="s">
        <v>198</v>
      </c>
    </row>
    <row r="188" spans="4:5" x14ac:dyDescent="0.3">
      <c r="D188" t="s">
        <v>236</v>
      </c>
      <c r="E188" t="s">
        <v>198</v>
      </c>
    </row>
    <row r="189" spans="4:5" x14ac:dyDescent="0.3">
      <c r="D189" t="s">
        <v>237</v>
      </c>
      <c r="E189" t="s">
        <v>198</v>
      </c>
    </row>
    <row r="190" spans="4:5" x14ac:dyDescent="0.3">
      <c r="D190" t="s">
        <v>238</v>
      </c>
      <c r="E190" t="s">
        <v>198</v>
      </c>
    </row>
    <row r="191" spans="4:5" x14ac:dyDescent="0.3">
      <c r="D191" t="s">
        <v>239</v>
      </c>
      <c r="E191" t="s">
        <v>198</v>
      </c>
    </row>
    <row r="192" spans="4:5" x14ac:dyDescent="0.3">
      <c r="D192" t="s">
        <v>240</v>
      </c>
      <c r="E192" t="s">
        <v>198</v>
      </c>
    </row>
    <row r="193" spans="4:5" x14ac:dyDescent="0.3">
      <c r="D193" t="s">
        <v>241</v>
      </c>
      <c r="E193" t="s">
        <v>198</v>
      </c>
    </row>
    <row r="194" spans="4:5" x14ac:dyDescent="0.3">
      <c r="D194" t="s">
        <v>242</v>
      </c>
      <c r="E194" t="s">
        <v>198</v>
      </c>
    </row>
    <row r="195" spans="4:5" x14ac:dyDescent="0.3">
      <c r="D195" t="s">
        <v>243</v>
      </c>
      <c r="E195" t="s">
        <v>198</v>
      </c>
    </row>
    <row r="196" spans="4:5" x14ac:dyDescent="0.3">
      <c r="D196" t="s">
        <v>244</v>
      </c>
      <c r="E196" t="s">
        <v>198</v>
      </c>
    </row>
    <row r="197" spans="4:5" x14ac:dyDescent="0.3">
      <c r="D197" t="s">
        <v>246</v>
      </c>
      <c r="E197" t="s">
        <v>245</v>
      </c>
    </row>
    <row r="198" spans="4:5" x14ac:dyDescent="0.3">
      <c r="D198" t="s">
        <v>247</v>
      </c>
      <c r="E198" t="s">
        <v>245</v>
      </c>
    </row>
    <row r="199" spans="4:5" x14ac:dyDescent="0.3">
      <c r="D199" t="s">
        <v>248</v>
      </c>
      <c r="E199" t="s">
        <v>245</v>
      </c>
    </row>
    <row r="200" spans="4:5" x14ac:dyDescent="0.3">
      <c r="D200" t="s">
        <v>249</v>
      </c>
      <c r="E200" t="s">
        <v>245</v>
      </c>
    </row>
    <row r="201" spans="4:5" x14ac:dyDescent="0.3">
      <c r="D201" t="s">
        <v>250</v>
      </c>
      <c r="E201" t="s">
        <v>245</v>
      </c>
    </row>
    <row r="202" spans="4:5" x14ac:dyDescent="0.3">
      <c r="D202" t="s">
        <v>251</v>
      </c>
      <c r="E202" t="s">
        <v>245</v>
      </c>
    </row>
    <row r="203" spans="4:5" x14ac:dyDescent="0.3">
      <c r="D203" t="s">
        <v>252</v>
      </c>
      <c r="E203" t="s">
        <v>245</v>
      </c>
    </row>
    <row r="204" spans="4:5" x14ac:dyDescent="0.3">
      <c r="D204" t="s">
        <v>253</v>
      </c>
      <c r="E204" t="s">
        <v>245</v>
      </c>
    </row>
    <row r="205" spans="4:5" x14ac:dyDescent="0.3">
      <c r="D205" t="s">
        <v>245</v>
      </c>
      <c r="E205" t="s">
        <v>245</v>
      </c>
    </row>
    <row r="206" spans="4:5" x14ac:dyDescent="0.3">
      <c r="D206" t="s">
        <v>71</v>
      </c>
      <c r="E206" t="s">
        <v>245</v>
      </c>
    </row>
    <row r="207" spans="4:5" x14ac:dyDescent="0.3">
      <c r="D207" t="s">
        <v>254</v>
      </c>
      <c r="E207" t="s">
        <v>245</v>
      </c>
    </row>
    <row r="208" spans="4:5" x14ac:dyDescent="0.3">
      <c r="D208" t="s">
        <v>255</v>
      </c>
      <c r="E208" t="s">
        <v>245</v>
      </c>
    </row>
    <row r="209" spans="4:5" x14ac:dyDescent="0.3">
      <c r="D209" t="s">
        <v>75</v>
      </c>
      <c r="E209" t="s">
        <v>245</v>
      </c>
    </row>
    <row r="210" spans="4:5" x14ac:dyDescent="0.3">
      <c r="D210" t="s">
        <v>256</v>
      </c>
      <c r="E210" t="s">
        <v>245</v>
      </c>
    </row>
    <row r="211" spans="4:5" x14ac:dyDescent="0.3">
      <c r="D211" t="s">
        <v>257</v>
      </c>
      <c r="E211" t="s">
        <v>245</v>
      </c>
    </row>
    <row r="212" spans="4:5" x14ac:dyDescent="0.3">
      <c r="D212" t="s">
        <v>258</v>
      </c>
      <c r="E212" t="s">
        <v>245</v>
      </c>
    </row>
    <row r="213" spans="4:5" x14ac:dyDescent="0.3">
      <c r="D213" t="s">
        <v>259</v>
      </c>
      <c r="E213" t="s">
        <v>245</v>
      </c>
    </row>
    <row r="214" spans="4:5" x14ac:dyDescent="0.3">
      <c r="D214" t="s">
        <v>260</v>
      </c>
      <c r="E214" t="s">
        <v>245</v>
      </c>
    </row>
    <row r="215" spans="4:5" x14ac:dyDescent="0.3">
      <c r="D215" t="s">
        <v>261</v>
      </c>
      <c r="E215" t="s">
        <v>245</v>
      </c>
    </row>
    <row r="216" spans="4:5" x14ac:dyDescent="0.3">
      <c r="D216" t="s">
        <v>262</v>
      </c>
      <c r="E216" t="s">
        <v>245</v>
      </c>
    </row>
    <row r="217" spans="4:5" x14ac:dyDescent="0.3">
      <c r="D217" t="s">
        <v>263</v>
      </c>
      <c r="E217" t="s">
        <v>245</v>
      </c>
    </row>
    <row r="218" spans="4:5" x14ac:dyDescent="0.3">
      <c r="D218" t="s">
        <v>264</v>
      </c>
      <c r="E218" t="s">
        <v>245</v>
      </c>
    </row>
    <row r="219" spans="4:5" x14ac:dyDescent="0.3">
      <c r="D219" t="s">
        <v>265</v>
      </c>
      <c r="E219" t="s">
        <v>245</v>
      </c>
    </row>
    <row r="220" spans="4:5" x14ac:dyDescent="0.3">
      <c r="D220" t="s">
        <v>266</v>
      </c>
      <c r="E220" t="s">
        <v>245</v>
      </c>
    </row>
    <row r="221" spans="4:5" x14ac:dyDescent="0.3">
      <c r="D221" t="s">
        <v>267</v>
      </c>
      <c r="E221" t="s">
        <v>245</v>
      </c>
    </row>
    <row r="222" spans="4:5" x14ac:dyDescent="0.3">
      <c r="D222" t="s">
        <v>268</v>
      </c>
      <c r="E222" t="s">
        <v>245</v>
      </c>
    </row>
    <row r="223" spans="4:5" x14ac:dyDescent="0.3">
      <c r="D223" t="s">
        <v>269</v>
      </c>
      <c r="E223" t="s">
        <v>245</v>
      </c>
    </row>
    <row r="224" spans="4:5" x14ac:dyDescent="0.3">
      <c r="D224" t="s">
        <v>270</v>
      </c>
      <c r="E224" t="s">
        <v>245</v>
      </c>
    </row>
    <row r="225" spans="4:5" x14ac:dyDescent="0.3">
      <c r="D225" t="s">
        <v>271</v>
      </c>
      <c r="E225" t="s">
        <v>245</v>
      </c>
    </row>
    <row r="226" spans="4:5" x14ac:dyDescent="0.3">
      <c r="D226" t="s">
        <v>272</v>
      </c>
      <c r="E226" t="s">
        <v>245</v>
      </c>
    </row>
    <row r="227" spans="4:5" x14ac:dyDescent="0.3">
      <c r="D227" t="s">
        <v>273</v>
      </c>
      <c r="E227" t="s">
        <v>245</v>
      </c>
    </row>
    <row r="228" spans="4:5" x14ac:dyDescent="0.3">
      <c r="D228" t="s">
        <v>274</v>
      </c>
      <c r="E228" t="s">
        <v>245</v>
      </c>
    </row>
    <row r="229" spans="4:5" x14ac:dyDescent="0.3">
      <c r="D229" t="s">
        <v>275</v>
      </c>
      <c r="E229" t="s">
        <v>245</v>
      </c>
    </row>
    <row r="230" spans="4:5" x14ac:dyDescent="0.3">
      <c r="D230" t="s">
        <v>276</v>
      </c>
      <c r="E230" t="s">
        <v>245</v>
      </c>
    </row>
    <row r="231" spans="4:5" x14ac:dyDescent="0.3">
      <c r="D231" t="s">
        <v>277</v>
      </c>
      <c r="E231" t="s">
        <v>245</v>
      </c>
    </row>
    <row r="232" spans="4:5" x14ac:dyDescent="0.3">
      <c r="D232" t="s">
        <v>278</v>
      </c>
      <c r="E232" t="s">
        <v>245</v>
      </c>
    </row>
    <row r="233" spans="4:5" x14ac:dyDescent="0.3">
      <c r="D233" t="s">
        <v>279</v>
      </c>
      <c r="E233" t="s">
        <v>245</v>
      </c>
    </row>
    <row r="234" spans="4:5" x14ac:dyDescent="0.3">
      <c r="D234" t="s">
        <v>280</v>
      </c>
      <c r="E234" t="s">
        <v>245</v>
      </c>
    </row>
    <row r="235" spans="4:5" x14ac:dyDescent="0.3">
      <c r="D235" t="s">
        <v>281</v>
      </c>
      <c r="E235" t="s">
        <v>245</v>
      </c>
    </row>
    <row r="236" spans="4:5" x14ac:dyDescent="0.3">
      <c r="D236" t="s">
        <v>282</v>
      </c>
      <c r="E236" t="s">
        <v>245</v>
      </c>
    </row>
    <row r="237" spans="4:5" x14ac:dyDescent="0.3">
      <c r="D237" t="s">
        <v>283</v>
      </c>
      <c r="E237" t="s">
        <v>245</v>
      </c>
    </row>
    <row r="238" spans="4:5" x14ac:dyDescent="0.3">
      <c r="D238" t="s">
        <v>284</v>
      </c>
      <c r="E238" t="s">
        <v>245</v>
      </c>
    </row>
    <row r="239" spans="4:5" x14ac:dyDescent="0.3">
      <c r="D239" t="s">
        <v>285</v>
      </c>
      <c r="E239" t="s">
        <v>245</v>
      </c>
    </row>
    <row r="240" spans="4:5" x14ac:dyDescent="0.3">
      <c r="D240" t="s">
        <v>286</v>
      </c>
      <c r="E240" t="s">
        <v>245</v>
      </c>
    </row>
    <row r="241" spans="4:5" x14ac:dyDescent="0.3">
      <c r="D241" t="s">
        <v>287</v>
      </c>
      <c r="E241" t="s">
        <v>245</v>
      </c>
    </row>
    <row r="242" spans="4:5" x14ac:dyDescent="0.3">
      <c r="D242" t="s">
        <v>110</v>
      </c>
      <c r="E242" t="s">
        <v>245</v>
      </c>
    </row>
    <row r="243" spans="4:5" x14ac:dyDescent="0.3">
      <c r="D243" t="s">
        <v>288</v>
      </c>
      <c r="E243" t="s">
        <v>245</v>
      </c>
    </row>
    <row r="244" spans="4:5" x14ac:dyDescent="0.3">
      <c r="D244" t="s">
        <v>289</v>
      </c>
      <c r="E244" t="s">
        <v>245</v>
      </c>
    </row>
    <row r="245" spans="4:5" x14ac:dyDescent="0.3">
      <c r="D245" t="s">
        <v>290</v>
      </c>
      <c r="E245" t="s">
        <v>245</v>
      </c>
    </row>
    <row r="246" spans="4:5" x14ac:dyDescent="0.3">
      <c r="D246" t="s">
        <v>291</v>
      </c>
      <c r="E246" t="s">
        <v>245</v>
      </c>
    </row>
    <row r="247" spans="4:5" x14ac:dyDescent="0.3">
      <c r="D247" t="s">
        <v>292</v>
      </c>
      <c r="E247" t="s">
        <v>245</v>
      </c>
    </row>
    <row r="248" spans="4:5" x14ac:dyDescent="0.3">
      <c r="D248" t="s">
        <v>293</v>
      </c>
      <c r="E248" t="s">
        <v>245</v>
      </c>
    </row>
    <row r="249" spans="4:5" x14ac:dyDescent="0.3">
      <c r="D249" t="s">
        <v>294</v>
      </c>
      <c r="E249" t="s">
        <v>245</v>
      </c>
    </row>
    <row r="250" spans="4:5" x14ac:dyDescent="0.3">
      <c r="D250" t="s">
        <v>295</v>
      </c>
      <c r="E250" t="s">
        <v>245</v>
      </c>
    </row>
    <row r="251" spans="4:5" x14ac:dyDescent="0.3">
      <c r="D251" t="s">
        <v>296</v>
      </c>
      <c r="E251" t="s">
        <v>245</v>
      </c>
    </row>
    <row r="252" spans="4:5" x14ac:dyDescent="0.3">
      <c r="D252" t="s">
        <v>297</v>
      </c>
      <c r="E252" t="s">
        <v>245</v>
      </c>
    </row>
    <row r="253" spans="4:5" x14ac:dyDescent="0.3">
      <c r="D253" t="s">
        <v>298</v>
      </c>
      <c r="E253" t="s">
        <v>245</v>
      </c>
    </row>
    <row r="254" spans="4:5" x14ac:dyDescent="0.3">
      <c r="D254" t="s">
        <v>299</v>
      </c>
      <c r="E254" t="s">
        <v>245</v>
      </c>
    </row>
    <row r="255" spans="4:5" x14ac:dyDescent="0.3">
      <c r="D255" t="s">
        <v>300</v>
      </c>
      <c r="E255" t="s">
        <v>245</v>
      </c>
    </row>
    <row r="256" spans="4:5" x14ac:dyDescent="0.3">
      <c r="D256" t="s">
        <v>301</v>
      </c>
      <c r="E256" t="s">
        <v>245</v>
      </c>
    </row>
    <row r="257" spans="4:5" x14ac:dyDescent="0.3">
      <c r="D257" t="s">
        <v>302</v>
      </c>
      <c r="E257" t="s">
        <v>245</v>
      </c>
    </row>
    <row r="258" spans="4:5" x14ac:dyDescent="0.3">
      <c r="D258" t="s">
        <v>303</v>
      </c>
      <c r="E258" t="s">
        <v>245</v>
      </c>
    </row>
    <row r="259" spans="4:5" x14ac:dyDescent="0.3">
      <c r="D259" t="s">
        <v>304</v>
      </c>
      <c r="E259" t="s">
        <v>245</v>
      </c>
    </row>
    <row r="260" spans="4:5" x14ac:dyDescent="0.3">
      <c r="D260" t="s">
        <v>305</v>
      </c>
      <c r="E260" t="s">
        <v>245</v>
      </c>
    </row>
    <row r="261" spans="4:5" x14ac:dyDescent="0.3">
      <c r="D261" t="s">
        <v>306</v>
      </c>
      <c r="E261" t="s">
        <v>245</v>
      </c>
    </row>
    <row r="262" spans="4:5" x14ac:dyDescent="0.3">
      <c r="D262" t="s">
        <v>307</v>
      </c>
      <c r="E262" t="s">
        <v>245</v>
      </c>
    </row>
    <row r="263" spans="4:5" x14ac:dyDescent="0.3">
      <c r="D263" t="s">
        <v>308</v>
      </c>
      <c r="E263" t="s">
        <v>245</v>
      </c>
    </row>
    <row r="264" spans="4:5" x14ac:dyDescent="0.3">
      <c r="D264" t="s">
        <v>309</v>
      </c>
      <c r="E264" t="s">
        <v>245</v>
      </c>
    </row>
    <row r="265" spans="4:5" x14ac:dyDescent="0.3">
      <c r="D265" t="s">
        <v>310</v>
      </c>
      <c r="E265" t="s">
        <v>245</v>
      </c>
    </row>
    <row r="266" spans="4:5" x14ac:dyDescent="0.3">
      <c r="D266" t="s">
        <v>311</v>
      </c>
      <c r="E266" t="s">
        <v>245</v>
      </c>
    </row>
    <row r="267" spans="4:5" x14ac:dyDescent="0.3">
      <c r="D267" t="s">
        <v>312</v>
      </c>
      <c r="E267" t="s">
        <v>245</v>
      </c>
    </row>
    <row r="268" spans="4:5" x14ac:dyDescent="0.3">
      <c r="D268" t="s">
        <v>313</v>
      </c>
      <c r="E268" t="s">
        <v>245</v>
      </c>
    </row>
    <row r="269" spans="4:5" x14ac:dyDescent="0.3">
      <c r="D269" t="s">
        <v>314</v>
      </c>
      <c r="E269" t="s">
        <v>245</v>
      </c>
    </row>
    <row r="270" spans="4:5" x14ac:dyDescent="0.3">
      <c r="D270" t="s">
        <v>315</v>
      </c>
      <c r="E270" t="s">
        <v>245</v>
      </c>
    </row>
    <row r="271" spans="4:5" x14ac:dyDescent="0.3">
      <c r="D271" t="s">
        <v>316</v>
      </c>
      <c r="E271" t="s">
        <v>245</v>
      </c>
    </row>
    <row r="272" spans="4:5" x14ac:dyDescent="0.3">
      <c r="D272" t="s">
        <v>317</v>
      </c>
      <c r="E272" t="s">
        <v>245</v>
      </c>
    </row>
    <row r="273" spans="4:5" x14ac:dyDescent="0.3">
      <c r="D273" t="s">
        <v>318</v>
      </c>
      <c r="E273" t="s">
        <v>245</v>
      </c>
    </row>
    <row r="274" spans="4:5" x14ac:dyDescent="0.3">
      <c r="D274" t="s">
        <v>319</v>
      </c>
      <c r="E274" t="s">
        <v>245</v>
      </c>
    </row>
    <row r="275" spans="4:5" x14ac:dyDescent="0.3">
      <c r="D275" t="s">
        <v>320</v>
      </c>
      <c r="E275" t="s">
        <v>245</v>
      </c>
    </row>
    <row r="276" spans="4:5" x14ac:dyDescent="0.3">
      <c r="D276" t="s">
        <v>321</v>
      </c>
      <c r="E276" t="s">
        <v>245</v>
      </c>
    </row>
    <row r="277" spans="4:5" x14ac:dyDescent="0.3">
      <c r="D277" t="s">
        <v>322</v>
      </c>
      <c r="E277" t="s">
        <v>245</v>
      </c>
    </row>
    <row r="278" spans="4:5" x14ac:dyDescent="0.3">
      <c r="D278" t="s">
        <v>323</v>
      </c>
      <c r="E278" t="s">
        <v>245</v>
      </c>
    </row>
    <row r="279" spans="4:5" x14ac:dyDescent="0.3">
      <c r="D279" t="s">
        <v>324</v>
      </c>
      <c r="E279" t="s">
        <v>245</v>
      </c>
    </row>
    <row r="280" spans="4:5" x14ac:dyDescent="0.3">
      <c r="D280" t="s">
        <v>325</v>
      </c>
      <c r="E280" t="s">
        <v>245</v>
      </c>
    </row>
    <row r="281" spans="4:5" x14ac:dyDescent="0.3">
      <c r="D281" t="s">
        <v>326</v>
      </c>
      <c r="E281" t="s">
        <v>245</v>
      </c>
    </row>
    <row r="282" spans="4:5" x14ac:dyDescent="0.3">
      <c r="D282" t="s">
        <v>327</v>
      </c>
      <c r="E282" t="s">
        <v>245</v>
      </c>
    </row>
    <row r="283" spans="4:5" x14ac:dyDescent="0.3">
      <c r="D283" t="s">
        <v>328</v>
      </c>
      <c r="E283" t="s">
        <v>245</v>
      </c>
    </row>
    <row r="284" spans="4:5" x14ac:dyDescent="0.3">
      <c r="D284" t="s">
        <v>329</v>
      </c>
      <c r="E284" t="s">
        <v>245</v>
      </c>
    </row>
    <row r="285" spans="4:5" x14ac:dyDescent="0.3">
      <c r="D285" t="s">
        <v>330</v>
      </c>
      <c r="E285" t="s">
        <v>245</v>
      </c>
    </row>
    <row r="286" spans="4:5" x14ac:dyDescent="0.3">
      <c r="D286" t="s">
        <v>331</v>
      </c>
      <c r="E286" t="s">
        <v>245</v>
      </c>
    </row>
    <row r="287" spans="4:5" x14ac:dyDescent="0.3">
      <c r="D287" t="s">
        <v>332</v>
      </c>
      <c r="E287" t="s">
        <v>245</v>
      </c>
    </row>
    <row r="288" spans="4:5" x14ac:dyDescent="0.3">
      <c r="D288" t="s">
        <v>333</v>
      </c>
      <c r="E288" t="s">
        <v>245</v>
      </c>
    </row>
    <row r="289" spans="4:5" x14ac:dyDescent="0.3">
      <c r="D289" t="s">
        <v>334</v>
      </c>
      <c r="E289" t="s">
        <v>245</v>
      </c>
    </row>
    <row r="290" spans="4:5" x14ac:dyDescent="0.3">
      <c r="D290" t="s">
        <v>335</v>
      </c>
      <c r="E290" t="s">
        <v>245</v>
      </c>
    </row>
    <row r="291" spans="4:5" x14ac:dyDescent="0.3">
      <c r="D291" t="s">
        <v>336</v>
      </c>
      <c r="E291" t="s">
        <v>245</v>
      </c>
    </row>
    <row r="292" spans="4:5" x14ac:dyDescent="0.3">
      <c r="D292" t="s">
        <v>337</v>
      </c>
      <c r="E292" t="s">
        <v>245</v>
      </c>
    </row>
    <row r="293" spans="4:5" x14ac:dyDescent="0.3">
      <c r="D293" t="s">
        <v>338</v>
      </c>
      <c r="E293" t="s">
        <v>245</v>
      </c>
    </row>
    <row r="294" spans="4:5" x14ac:dyDescent="0.3">
      <c r="D294" t="s">
        <v>339</v>
      </c>
      <c r="E294" t="s">
        <v>245</v>
      </c>
    </row>
    <row r="295" spans="4:5" x14ac:dyDescent="0.3">
      <c r="D295" t="s">
        <v>340</v>
      </c>
      <c r="E295" t="s">
        <v>245</v>
      </c>
    </row>
    <row r="296" spans="4:5" x14ac:dyDescent="0.3">
      <c r="D296" t="s">
        <v>341</v>
      </c>
      <c r="E296" t="s">
        <v>245</v>
      </c>
    </row>
    <row r="297" spans="4:5" x14ac:dyDescent="0.3">
      <c r="D297" t="s">
        <v>342</v>
      </c>
      <c r="E297" t="s">
        <v>245</v>
      </c>
    </row>
    <row r="298" spans="4:5" x14ac:dyDescent="0.3">
      <c r="D298" t="s">
        <v>343</v>
      </c>
      <c r="E298" t="s">
        <v>245</v>
      </c>
    </row>
    <row r="299" spans="4:5" x14ac:dyDescent="0.3">
      <c r="D299" t="s">
        <v>344</v>
      </c>
      <c r="E299" t="s">
        <v>245</v>
      </c>
    </row>
    <row r="300" spans="4:5" x14ac:dyDescent="0.3">
      <c r="D300" t="s">
        <v>345</v>
      </c>
      <c r="E300" t="s">
        <v>245</v>
      </c>
    </row>
    <row r="301" spans="4:5" x14ac:dyDescent="0.3">
      <c r="D301" t="s">
        <v>346</v>
      </c>
      <c r="E301" t="s">
        <v>245</v>
      </c>
    </row>
    <row r="302" spans="4:5" x14ac:dyDescent="0.3">
      <c r="D302" t="s">
        <v>347</v>
      </c>
      <c r="E302" t="s">
        <v>245</v>
      </c>
    </row>
    <row r="303" spans="4:5" x14ac:dyDescent="0.3">
      <c r="D303" t="s">
        <v>348</v>
      </c>
      <c r="E303" t="s">
        <v>245</v>
      </c>
    </row>
    <row r="304" spans="4:5" x14ac:dyDescent="0.3">
      <c r="D304" t="s">
        <v>349</v>
      </c>
      <c r="E304" t="s">
        <v>245</v>
      </c>
    </row>
    <row r="305" spans="4:5" x14ac:dyDescent="0.3">
      <c r="D305" t="s">
        <v>350</v>
      </c>
      <c r="E305" t="s">
        <v>245</v>
      </c>
    </row>
    <row r="306" spans="4:5" x14ac:dyDescent="0.3">
      <c r="D306" t="s">
        <v>351</v>
      </c>
      <c r="E306" t="s">
        <v>245</v>
      </c>
    </row>
    <row r="307" spans="4:5" x14ac:dyDescent="0.3">
      <c r="D307" t="s">
        <v>352</v>
      </c>
      <c r="E307" t="s">
        <v>245</v>
      </c>
    </row>
    <row r="308" spans="4:5" x14ac:dyDescent="0.3">
      <c r="D308" t="s">
        <v>353</v>
      </c>
      <c r="E308" t="s">
        <v>245</v>
      </c>
    </row>
    <row r="309" spans="4:5" x14ac:dyDescent="0.3">
      <c r="D309" t="s">
        <v>354</v>
      </c>
      <c r="E309" t="s">
        <v>245</v>
      </c>
    </row>
    <row r="310" spans="4:5" x14ac:dyDescent="0.3">
      <c r="D310" t="s">
        <v>355</v>
      </c>
      <c r="E310" t="s">
        <v>245</v>
      </c>
    </row>
    <row r="311" spans="4:5" x14ac:dyDescent="0.3">
      <c r="D311" t="s">
        <v>356</v>
      </c>
      <c r="E311" t="s">
        <v>245</v>
      </c>
    </row>
    <row r="312" spans="4:5" x14ac:dyDescent="0.3">
      <c r="D312" t="s">
        <v>357</v>
      </c>
      <c r="E312" t="s">
        <v>245</v>
      </c>
    </row>
    <row r="313" spans="4:5" x14ac:dyDescent="0.3">
      <c r="D313" t="s">
        <v>358</v>
      </c>
      <c r="E313" t="s">
        <v>245</v>
      </c>
    </row>
    <row r="314" spans="4:5" x14ac:dyDescent="0.3">
      <c r="D314" t="s">
        <v>359</v>
      </c>
      <c r="E314" t="s">
        <v>245</v>
      </c>
    </row>
    <row r="315" spans="4:5" x14ac:dyDescent="0.3">
      <c r="D315" t="s">
        <v>360</v>
      </c>
      <c r="E315" t="s">
        <v>245</v>
      </c>
    </row>
    <row r="316" spans="4:5" x14ac:dyDescent="0.3">
      <c r="D316" t="s">
        <v>361</v>
      </c>
      <c r="E316" t="s">
        <v>245</v>
      </c>
    </row>
    <row r="317" spans="4:5" x14ac:dyDescent="0.3">
      <c r="D317" t="s">
        <v>362</v>
      </c>
      <c r="E317" t="s">
        <v>245</v>
      </c>
    </row>
    <row r="318" spans="4:5" x14ac:dyDescent="0.3">
      <c r="D318" t="s">
        <v>363</v>
      </c>
      <c r="E318" t="s">
        <v>245</v>
      </c>
    </row>
    <row r="319" spans="4:5" x14ac:dyDescent="0.3">
      <c r="D319" t="s">
        <v>364</v>
      </c>
      <c r="E319" t="s">
        <v>245</v>
      </c>
    </row>
    <row r="320" spans="4:5" x14ac:dyDescent="0.3">
      <c r="D320" t="s">
        <v>365</v>
      </c>
      <c r="E320" t="s">
        <v>75</v>
      </c>
    </row>
    <row r="321" spans="4:5" x14ac:dyDescent="0.3">
      <c r="D321" t="s">
        <v>366</v>
      </c>
      <c r="E321" t="s">
        <v>75</v>
      </c>
    </row>
    <row r="322" spans="4:5" x14ac:dyDescent="0.3">
      <c r="D322" t="s">
        <v>367</v>
      </c>
      <c r="E322" t="s">
        <v>75</v>
      </c>
    </row>
    <row r="323" spans="4:5" x14ac:dyDescent="0.3">
      <c r="D323" t="s">
        <v>368</v>
      </c>
      <c r="E323" t="s">
        <v>75</v>
      </c>
    </row>
    <row r="324" spans="4:5" x14ac:dyDescent="0.3">
      <c r="D324" t="s">
        <v>369</v>
      </c>
      <c r="E324" t="s">
        <v>75</v>
      </c>
    </row>
    <row r="325" spans="4:5" x14ac:dyDescent="0.3">
      <c r="D325" t="s">
        <v>370</v>
      </c>
      <c r="E325" t="s">
        <v>75</v>
      </c>
    </row>
    <row r="326" spans="4:5" x14ac:dyDescent="0.3">
      <c r="D326" t="s">
        <v>371</v>
      </c>
      <c r="E326" t="s">
        <v>75</v>
      </c>
    </row>
    <row r="327" spans="4:5" x14ac:dyDescent="0.3">
      <c r="D327" t="s">
        <v>372</v>
      </c>
      <c r="E327" t="s">
        <v>75</v>
      </c>
    </row>
    <row r="328" spans="4:5" x14ac:dyDescent="0.3">
      <c r="D328" t="s">
        <v>373</v>
      </c>
      <c r="E328" t="s">
        <v>75</v>
      </c>
    </row>
    <row r="329" spans="4:5" x14ac:dyDescent="0.3">
      <c r="D329" t="s">
        <v>374</v>
      </c>
      <c r="E329" t="s">
        <v>75</v>
      </c>
    </row>
    <row r="330" spans="4:5" x14ac:dyDescent="0.3">
      <c r="D330" t="s">
        <v>375</v>
      </c>
      <c r="E330" t="s">
        <v>75</v>
      </c>
    </row>
    <row r="331" spans="4:5" x14ac:dyDescent="0.3">
      <c r="D331" t="s">
        <v>376</v>
      </c>
      <c r="E331" t="s">
        <v>75</v>
      </c>
    </row>
    <row r="332" spans="4:5" x14ac:dyDescent="0.3">
      <c r="D332" t="s">
        <v>377</v>
      </c>
      <c r="E332" t="s">
        <v>75</v>
      </c>
    </row>
    <row r="333" spans="4:5" x14ac:dyDescent="0.3">
      <c r="D333" t="s">
        <v>378</v>
      </c>
      <c r="E333" t="s">
        <v>75</v>
      </c>
    </row>
    <row r="334" spans="4:5" x14ac:dyDescent="0.3">
      <c r="D334" t="s">
        <v>379</v>
      </c>
      <c r="E334" t="s">
        <v>75</v>
      </c>
    </row>
    <row r="335" spans="4:5" x14ac:dyDescent="0.3">
      <c r="D335" t="s">
        <v>380</v>
      </c>
      <c r="E335" t="s">
        <v>75</v>
      </c>
    </row>
    <row r="336" spans="4:5" x14ac:dyDescent="0.3">
      <c r="D336" t="s">
        <v>381</v>
      </c>
      <c r="E336" t="s">
        <v>75</v>
      </c>
    </row>
    <row r="337" spans="4:5" x14ac:dyDescent="0.3">
      <c r="D337" t="s">
        <v>382</v>
      </c>
      <c r="E337" t="s">
        <v>75</v>
      </c>
    </row>
    <row r="338" spans="4:5" x14ac:dyDescent="0.3">
      <c r="D338" t="s">
        <v>383</v>
      </c>
      <c r="E338" t="s">
        <v>75</v>
      </c>
    </row>
    <row r="339" spans="4:5" x14ac:dyDescent="0.3">
      <c r="D339" t="s">
        <v>384</v>
      </c>
      <c r="E339" t="s">
        <v>75</v>
      </c>
    </row>
    <row r="340" spans="4:5" x14ac:dyDescent="0.3">
      <c r="D340" t="s">
        <v>385</v>
      </c>
      <c r="E340" t="s">
        <v>75</v>
      </c>
    </row>
    <row r="341" spans="4:5" x14ac:dyDescent="0.3">
      <c r="D341" t="s">
        <v>386</v>
      </c>
      <c r="E341" t="s">
        <v>75</v>
      </c>
    </row>
    <row r="342" spans="4:5" x14ac:dyDescent="0.3">
      <c r="D342" t="s">
        <v>387</v>
      </c>
      <c r="E342" t="s">
        <v>75</v>
      </c>
    </row>
    <row r="343" spans="4:5" x14ac:dyDescent="0.3">
      <c r="D343" t="s">
        <v>388</v>
      </c>
      <c r="E343" t="s">
        <v>75</v>
      </c>
    </row>
    <row r="344" spans="4:5" x14ac:dyDescent="0.3">
      <c r="D344" t="s">
        <v>389</v>
      </c>
      <c r="E344" t="s">
        <v>75</v>
      </c>
    </row>
    <row r="345" spans="4:5" x14ac:dyDescent="0.3">
      <c r="D345" t="s">
        <v>390</v>
      </c>
      <c r="E345" t="s">
        <v>75</v>
      </c>
    </row>
    <row r="346" spans="4:5" x14ac:dyDescent="0.3">
      <c r="D346" t="s">
        <v>391</v>
      </c>
      <c r="E346" t="s">
        <v>75</v>
      </c>
    </row>
    <row r="347" spans="4:5" x14ac:dyDescent="0.3">
      <c r="D347" t="s">
        <v>393</v>
      </c>
      <c r="E347" t="s">
        <v>392</v>
      </c>
    </row>
    <row r="348" spans="4:5" x14ac:dyDescent="0.3">
      <c r="D348" t="s">
        <v>394</v>
      </c>
      <c r="E348" t="s">
        <v>392</v>
      </c>
    </row>
    <row r="349" spans="4:5" x14ac:dyDescent="0.3">
      <c r="D349" t="s">
        <v>395</v>
      </c>
      <c r="E349" t="s">
        <v>392</v>
      </c>
    </row>
    <row r="350" spans="4:5" x14ac:dyDescent="0.3">
      <c r="D350" t="s">
        <v>396</v>
      </c>
      <c r="E350" t="s">
        <v>392</v>
      </c>
    </row>
    <row r="351" spans="4:5" x14ac:dyDescent="0.3">
      <c r="D351" t="s">
        <v>397</v>
      </c>
      <c r="E351" t="s">
        <v>392</v>
      </c>
    </row>
    <row r="352" spans="4:5" x14ac:dyDescent="0.3">
      <c r="D352" t="s">
        <v>398</v>
      </c>
      <c r="E352" t="s">
        <v>392</v>
      </c>
    </row>
    <row r="353" spans="4:5" x14ac:dyDescent="0.3">
      <c r="D353" t="s">
        <v>399</v>
      </c>
      <c r="E353" t="s">
        <v>392</v>
      </c>
    </row>
    <row r="354" spans="4:5" x14ac:dyDescent="0.3">
      <c r="D354" t="s">
        <v>400</v>
      </c>
      <c r="E354" t="s">
        <v>392</v>
      </c>
    </row>
    <row r="355" spans="4:5" x14ac:dyDescent="0.3">
      <c r="D355" t="s">
        <v>401</v>
      </c>
      <c r="E355" t="s">
        <v>392</v>
      </c>
    </row>
    <row r="356" spans="4:5" x14ac:dyDescent="0.3">
      <c r="D356" t="s">
        <v>402</v>
      </c>
      <c r="E356" t="s">
        <v>392</v>
      </c>
    </row>
    <row r="357" spans="4:5" x14ac:dyDescent="0.3">
      <c r="D357" t="s">
        <v>403</v>
      </c>
      <c r="E357" t="s">
        <v>392</v>
      </c>
    </row>
    <row r="358" spans="4:5" x14ac:dyDescent="0.3">
      <c r="D358" t="s">
        <v>404</v>
      </c>
      <c r="E358" t="s">
        <v>392</v>
      </c>
    </row>
    <row r="359" spans="4:5" x14ac:dyDescent="0.3">
      <c r="D359" t="s">
        <v>405</v>
      </c>
      <c r="E359" t="s">
        <v>392</v>
      </c>
    </row>
    <row r="360" spans="4:5" x14ac:dyDescent="0.3">
      <c r="D360" t="s">
        <v>406</v>
      </c>
      <c r="E360" t="s">
        <v>392</v>
      </c>
    </row>
    <row r="361" spans="4:5" x14ac:dyDescent="0.3">
      <c r="D361" t="s">
        <v>407</v>
      </c>
      <c r="E361" t="s">
        <v>392</v>
      </c>
    </row>
    <row r="362" spans="4:5" x14ac:dyDescent="0.3">
      <c r="D362" t="s">
        <v>165</v>
      </c>
      <c r="E362" t="s">
        <v>392</v>
      </c>
    </row>
    <row r="363" spans="4:5" x14ac:dyDescent="0.3">
      <c r="D363" t="s">
        <v>409</v>
      </c>
      <c r="E363" t="s">
        <v>408</v>
      </c>
    </row>
    <row r="364" spans="4:5" x14ac:dyDescent="0.3">
      <c r="D364" t="s">
        <v>410</v>
      </c>
      <c r="E364" t="s">
        <v>408</v>
      </c>
    </row>
    <row r="365" spans="4:5" x14ac:dyDescent="0.3">
      <c r="D365" t="s">
        <v>63</v>
      </c>
      <c r="E365" t="s">
        <v>408</v>
      </c>
    </row>
    <row r="366" spans="4:5" x14ac:dyDescent="0.3">
      <c r="D366" t="s">
        <v>411</v>
      </c>
      <c r="E366" t="s">
        <v>408</v>
      </c>
    </row>
    <row r="367" spans="4:5" x14ac:dyDescent="0.3">
      <c r="D367" t="s">
        <v>198</v>
      </c>
      <c r="E367" t="s">
        <v>408</v>
      </c>
    </row>
    <row r="368" spans="4:5" x14ac:dyDescent="0.3">
      <c r="D368" t="s">
        <v>412</v>
      </c>
      <c r="E368" t="s">
        <v>408</v>
      </c>
    </row>
    <row r="369" spans="4:5" x14ac:dyDescent="0.3">
      <c r="D369" t="s">
        <v>413</v>
      </c>
      <c r="E369" t="s">
        <v>408</v>
      </c>
    </row>
    <row r="370" spans="4:5" x14ac:dyDescent="0.3">
      <c r="D370" t="s">
        <v>414</v>
      </c>
      <c r="E370" t="s">
        <v>408</v>
      </c>
    </row>
    <row r="371" spans="4:5" x14ac:dyDescent="0.3">
      <c r="D371" t="s">
        <v>415</v>
      </c>
      <c r="E371" t="s">
        <v>408</v>
      </c>
    </row>
    <row r="372" spans="4:5" x14ac:dyDescent="0.3">
      <c r="D372" t="s">
        <v>416</v>
      </c>
      <c r="E372" t="s">
        <v>408</v>
      </c>
    </row>
    <row r="373" spans="4:5" x14ac:dyDescent="0.3">
      <c r="D373" t="s">
        <v>417</v>
      </c>
      <c r="E373" t="s">
        <v>408</v>
      </c>
    </row>
    <row r="374" spans="4:5" x14ac:dyDescent="0.3">
      <c r="D374" t="s">
        <v>393</v>
      </c>
      <c r="E374" t="s">
        <v>408</v>
      </c>
    </row>
    <row r="375" spans="4:5" x14ac:dyDescent="0.3">
      <c r="D375" t="s">
        <v>418</v>
      </c>
      <c r="E375" t="s">
        <v>408</v>
      </c>
    </row>
    <row r="376" spans="4:5" x14ac:dyDescent="0.3">
      <c r="D376" t="s">
        <v>419</v>
      </c>
      <c r="E376" t="s">
        <v>408</v>
      </c>
    </row>
    <row r="377" spans="4:5" x14ac:dyDescent="0.3">
      <c r="D377" t="s">
        <v>420</v>
      </c>
      <c r="E377" t="s">
        <v>408</v>
      </c>
    </row>
    <row r="378" spans="4:5" x14ac:dyDescent="0.3">
      <c r="D378" t="s">
        <v>421</v>
      </c>
      <c r="E378" t="s">
        <v>408</v>
      </c>
    </row>
    <row r="379" spans="4:5" x14ac:dyDescent="0.3">
      <c r="D379" t="s">
        <v>422</v>
      </c>
      <c r="E379" t="s">
        <v>408</v>
      </c>
    </row>
    <row r="380" spans="4:5" x14ac:dyDescent="0.3">
      <c r="D380" t="s">
        <v>423</v>
      </c>
      <c r="E380" t="s">
        <v>408</v>
      </c>
    </row>
    <row r="381" spans="4:5" x14ac:dyDescent="0.3">
      <c r="D381" t="s">
        <v>424</v>
      </c>
      <c r="E381" t="s">
        <v>408</v>
      </c>
    </row>
    <row r="382" spans="4:5" x14ac:dyDescent="0.3">
      <c r="D382" t="s">
        <v>425</v>
      </c>
      <c r="E382" t="s">
        <v>408</v>
      </c>
    </row>
    <row r="383" spans="4:5" x14ac:dyDescent="0.3">
      <c r="D383" t="s">
        <v>426</v>
      </c>
      <c r="E383" t="s">
        <v>408</v>
      </c>
    </row>
    <row r="384" spans="4:5" x14ac:dyDescent="0.3">
      <c r="D384" t="s">
        <v>221</v>
      </c>
      <c r="E384" t="s">
        <v>408</v>
      </c>
    </row>
    <row r="385" spans="4:5" x14ac:dyDescent="0.3">
      <c r="D385" t="s">
        <v>427</v>
      </c>
      <c r="E385" t="s">
        <v>408</v>
      </c>
    </row>
    <row r="386" spans="4:5" x14ac:dyDescent="0.3">
      <c r="D386" t="s">
        <v>306</v>
      </c>
      <c r="E386" t="s">
        <v>408</v>
      </c>
    </row>
    <row r="387" spans="4:5" x14ac:dyDescent="0.3">
      <c r="D387" t="s">
        <v>428</v>
      </c>
      <c r="E387" t="s">
        <v>408</v>
      </c>
    </row>
    <row r="388" spans="4:5" x14ac:dyDescent="0.3">
      <c r="D388" t="s">
        <v>429</v>
      </c>
      <c r="E388" t="s">
        <v>408</v>
      </c>
    </row>
    <row r="389" spans="4:5" x14ac:dyDescent="0.3">
      <c r="D389" t="s">
        <v>430</v>
      </c>
      <c r="E389" t="s">
        <v>408</v>
      </c>
    </row>
    <row r="390" spans="4:5" x14ac:dyDescent="0.3">
      <c r="D390" t="s">
        <v>431</v>
      </c>
      <c r="E390" t="s">
        <v>408</v>
      </c>
    </row>
    <row r="391" spans="4:5" x14ac:dyDescent="0.3">
      <c r="D391" t="s">
        <v>432</v>
      </c>
      <c r="E391" t="s">
        <v>408</v>
      </c>
    </row>
    <row r="392" spans="4:5" x14ac:dyDescent="0.3">
      <c r="D392" t="s">
        <v>433</v>
      </c>
      <c r="E392" t="s">
        <v>408</v>
      </c>
    </row>
    <row r="393" spans="4:5" x14ac:dyDescent="0.3">
      <c r="D393" t="s">
        <v>434</v>
      </c>
      <c r="E393" t="s">
        <v>408</v>
      </c>
    </row>
    <row r="394" spans="4:5" x14ac:dyDescent="0.3">
      <c r="D394" t="s">
        <v>435</v>
      </c>
      <c r="E394" t="s">
        <v>408</v>
      </c>
    </row>
    <row r="395" spans="4:5" x14ac:dyDescent="0.3">
      <c r="D395" t="s">
        <v>235</v>
      </c>
      <c r="E395" t="s">
        <v>408</v>
      </c>
    </row>
    <row r="396" spans="4:5" x14ac:dyDescent="0.3">
      <c r="D396" t="s">
        <v>436</v>
      </c>
      <c r="E396" t="s">
        <v>408</v>
      </c>
    </row>
    <row r="397" spans="4:5" x14ac:dyDescent="0.3">
      <c r="D397" t="s">
        <v>437</v>
      </c>
      <c r="E397" t="s">
        <v>408</v>
      </c>
    </row>
    <row r="398" spans="4:5" x14ac:dyDescent="0.3">
      <c r="D398" t="s">
        <v>438</v>
      </c>
      <c r="E398" t="s">
        <v>408</v>
      </c>
    </row>
    <row r="399" spans="4:5" x14ac:dyDescent="0.3">
      <c r="D399" t="s">
        <v>439</v>
      </c>
      <c r="E399" t="s">
        <v>408</v>
      </c>
    </row>
    <row r="400" spans="4:5" x14ac:dyDescent="0.3">
      <c r="D400" t="s">
        <v>440</v>
      </c>
      <c r="E400" t="s">
        <v>408</v>
      </c>
    </row>
    <row r="401" spans="4:5" x14ac:dyDescent="0.3">
      <c r="D401" t="s">
        <v>441</v>
      </c>
      <c r="E401" t="s">
        <v>408</v>
      </c>
    </row>
    <row r="402" spans="4:5" x14ac:dyDescent="0.3">
      <c r="D402" t="s">
        <v>442</v>
      </c>
      <c r="E402" t="s">
        <v>408</v>
      </c>
    </row>
    <row r="403" spans="4:5" x14ac:dyDescent="0.3">
      <c r="D403" t="s">
        <v>443</v>
      </c>
      <c r="E403" t="s">
        <v>408</v>
      </c>
    </row>
    <row r="404" spans="4:5" x14ac:dyDescent="0.3">
      <c r="D404" t="s">
        <v>444</v>
      </c>
      <c r="E404" t="s">
        <v>408</v>
      </c>
    </row>
    <row r="405" spans="4:5" x14ac:dyDescent="0.3">
      <c r="D405" t="s">
        <v>446</v>
      </c>
      <c r="E405" t="s">
        <v>445</v>
      </c>
    </row>
    <row r="406" spans="4:5" x14ac:dyDescent="0.3">
      <c r="D406" t="s">
        <v>447</v>
      </c>
      <c r="E406" t="s">
        <v>445</v>
      </c>
    </row>
    <row r="407" spans="4:5" x14ac:dyDescent="0.3">
      <c r="D407" t="s">
        <v>448</v>
      </c>
      <c r="E407" t="s">
        <v>445</v>
      </c>
    </row>
    <row r="408" spans="4:5" x14ac:dyDescent="0.3">
      <c r="D408" t="s">
        <v>449</v>
      </c>
      <c r="E408" t="s">
        <v>445</v>
      </c>
    </row>
    <row r="409" spans="4:5" x14ac:dyDescent="0.3">
      <c r="D409" t="s">
        <v>450</v>
      </c>
      <c r="E409" t="s">
        <v>445</v>
      </c>
    </row>
    <row r="410" spans="4:5" x14ac:dyDescent="0.3">
      <c r="D410" t="s">
        <v>451</v>
      </c>
      <c r="E410" t="s">
        <v>445</v>
      </c>
    </row>
    <row r="411" spans="4:5" x14ac:dyDescent="0.3">
      <c r="D411" t="s">
        <v>452</v>
      </c>
      <c r="E411" t="s">
        <v>445</v>
      </c>
    </row>
    <row r="412" spans="4:5" x14ac:dyDescent="0.3">
      <c r="D412" t="s">
        <v>453</v>
      </c>
      <c r="E412" t="s">
        <v>445</v>
      </c>
    </row>
    <row r="413" spans="4:5" x14ac:dyDescent="0.3">
      <c r="D413" t="s">
        <v>454</v>
      </c>
      <c r="E413" t="s">
        <v>445</v>
      </c>
    </row>
    <row r="414" spans="4:5" x14ac:dyDescent="0.3">
      <c r="D414" t="s">
        <v>455</v>
      </c>
      <c r="E414" t="s">
        <v>445</v>
      </c>
    </row>
    <row r="415" spans="4:5" x14ac:dyDescent="0.3">
      <c r="D415" t="s">
        <v>456</v>
      </c>
      <c r="E415" t="s">
        <v>445</v>
      </c>
    </row>
    <row r="416" spans="4:5" x14ac:dyDescent="0.3">
      <c r="D416" t="s">
        <v>457</v>
      </c>
      <c r="E416" t="s">
        <v>445</v>
      </c>
    </row>
    <row r="417" spans="4:5" x14ac:dyDescent="0.3">
      <c r="D417" t="s">
        <v>458</v>
      </c>
      <c r="E417" t="s">
        <v>445</v>
      </c>
    </row>
    <row r="418" spans="4:5" x14ac:dyDescent="0.3">
      <c r="D418" t="s">
        <v>459</v>
      </c>
      <c r="E418" t="s">
        <v>445</v>
      </c>
    </row>
    <row r="419" spans="4:5" x14ac:dyDescent="0.3">
      <c r="D419" t="s">
        <v>460</v>
      </c>
      <c r="E419" t="s">
        <v>445</v>
      </c>
    </row>
    <row r="420" spans="4:5" x14ac:dyDescent="0.3">
      <c r="D420" t="s">
        <v>461</v>
      </c>
      <c r="E420" t="s">
        <v>445</v>
      </c>
    </row>
    <row r="421" spans="4:5" x14ac:dyDescent="0.3">
      <c r="D421" t="s">
        <v>462</v>
      </c>
      <c r="E421" t="s">
        <v>445</v>
      </c>
    </row>
    <row r="422" spans="4:5" x14ac:dyDescent="0.3">
      <c r="D422" t="s">
        <v>463</v>
      </c>
      <c r="E422" t="s">
        <v>445</v>
      </c>
    </row>
    <row r="423" spans="4:5" x14ac:dyDescent="0.3">
      <c r="D423" t="s">
        <v>464</v>
      </c>
      <c r="E423" t="s">
        <v>445</v>
      </c>
    </row>
    <row r="424" spans="4:5" x14ac:dyDescent="0.3">
      <c r="D424" t="s">
        <v>465</v>
      </c>
      <c r="E424" t="s">
        <v>445</v>
      </c>
    </row>
    <row r="425" spans="4:5" x14ac:dyDescent="0.3">
      <c r="D425" t="s">
        <v>466</v>
      </c>
      <c r="E425" t="s">
        <v>445</v>
      </c>
    </row>
    <row r="426" spans="4:5" x14ac:dyDescent="0.3">
      <c r="D426" t="s">
        <v>467</v>
      </c>
      <c r="E426" t="s">
        <v>445</v>
      </c>
    </row>
    <row r="427" spans="4:5" x14ac:dyDescent="0.3">
      <c r="D427" t="s">
        <v>468</v>
      </c>
      <c r="E427" t="s">
        <v>445</v>
      </c>
    </row>
    <row r="428" spans="4:5" x14ac:dyDescent="0.3">
      <c r="D428" t="s">
        <v>469</v>
      </c>
      <c r="E428" t="s">
        <v>445</v>
      </c>
    </row>
    <row r="429" spans="4:5" x14ac:dyDescent="0.3">
      <c r="D429" t="s">
        <v>470</v>
      </c>
      <c r="E429" t="s">
        <v>445</v>
      </c>
    </row>
    <row r="430" spans="4:5" x14ac:dyDescent="0.3">
      <c r="D430" t="s">
        <v>471</v>
      </c>
      <c r="E430" t="s">
        <v>209</v>
      </c>
    </row>
    <row r="431" spans="4:5" x14ac:dyDescent="0.3">
      <c r="D431" t="s">
        <v>472</v>
      </c>
      <c r="E431" t="s">
        <v>209</v>
      </c>
    </row>
    <row r="432" spans="4:5" x14ac:dyDescent="0.3">
      <c r="D432" t="s">
        <v>254</v>
      </c>
      <c r="E432" t="s">
        <v>209</v>
      </c>
    </row>
    <row r="433" spans="4:5" x14ac:dyDescent="0.3">
      <c r="D433" t="s">
        <v>473</v>
      </c>
      <c r="E433" t="s">
        <v>209</v>
      </c>
    </row>
    <row r="434" spans="4:5" x14ac:dyDescent="0.3">
      <c r="D434" t="s">
        <v>474</v>
      </c>
      <c r="E434" t="s">
        <v>209</v>
      </c>
    </row>
    <row r="435" spans="4:5" x14ac:dyDescent="0.3">
      <c r="D435" t="s">
        <v>475</v>
      </c>
      <c r="E435" t="s">
        <v>209</v>
      </c>
    </row>
    <row r="436" spans="4:5" x14ac:dyDescent="0.3">
      <c r="D436" t="s">
        <v>476</v>
      </c>
      <c r="E436" t="s">
        <v>209</v>
      </c>
    </row>
    <row r="437" spans="4:5" x14ac:dyDescent="0.3">
      <c r="D437" t="s">
        <v>477</v>
      </c>
      <c r="E437" t="s">
        <v>209</v>
      </c>
    </row>
    <row r="438" spans="4:5" x14ac:dyDescent="0.3">
      <c r="D438" t="s">
        <v>478</v>
      </c>
      <c r="E438" t="s">
        <v>209</v>
      </c>
    </row>
    <row r="439" spans="4:5" x14ac:dyDescent="0.3">
      <c r="D439" t="s">
        <v>479</v>
      </c>
      <c r="E439" t="s">
        <v>209</v>
      </c>
    </row>
    <row r="440" spans="4:5" x14ac:dyDescent="0.3">
      <c r="D440" t="s">
        <v>480</v>
      </c>
      <c r="E440" t="s">
        <v>209</v>
      </c>
    </row>
    <row r="441" spans="4:5" x14ac:dyDescent="0.3">
      <c r="D441" t="s">
        <v>481</v>
      </c>
      <c r="E441" t="s">
        <v>209</v>
      </c>
    </row>
    <row r="442" spans="4:5" x14ac:dyDescent="0.3">
      <c r="D442" t="s">
        <v>482</v>
      </c>
      <c r="E442" t="s">
        <v>209</v>
      </c>
    </row>
    <row r="443" spans="4:5" x14ac:dyDescent="0.3">
      <c r="D443" t="s">
        <v>483</v>
      </c>
      <c r="E443" t="s">
        <v>209</v>
      </c>
    </row>
    <row r="444" spans="4:5" x14ac:dyDescent="0.3">
      <c r="D444" t="s">
        <v>484</v>
      </c>
      <c r="E444" t="s">
        <v>209</v>
      </c>
    </row>
    <row r="445" spans="4:5" x14ac:dyDescent="0.3">
      <c r="D445" t="s">
        <v>485</v>
      </c>
      <c r="E445" t="s">
        <v>209</v>
      </c>
    </row>
    <row r="446" spans="4:5" x14ac:dyDescent="0.3">
      <c r="D446" t="s">
        <v>486</v>
      </c>
      <c r="E446" t="s">
        <v>209</v>
      </c>
    </row>
    <row r="447" spans="4:5" x14ac:dyDescent="0.3">
      <c r="D447" t="s">
        <v>487</v>
      </c>
      <c r="E447" t="s">
        <v>209</v>
      </c>
    </row>
    <row r="448" spans="4:5" x14ac:dyDescent="0.3">
      <c r="D448" t="s">
        <v>488</v>
      </c>
      <c r="E448" t="s">
        <v>209</v>
      </c>
    </row>
    <row r="449" spans="4:5" x14ac:dyDescent="0.3">
      <c r="D449" t="s">
        <v>489</v>
      </c>
      <c r="E449" t="s">
        <v>209</v>
      </c>
    </row>
    <row r="450" spans="4:5" x14ac:dyDescent="0.3">
      <c r="D450" t="s">
        <v>490</v>
      </c>
      <c r="E450" t="s">
        <v>209</v>
      </c>
    </row>
    <row r="451" spans="4:5" x14ac:dyDescent="0.3">
      <c r="D451" t="s">
        <v>491</v>
      </c>
      <c r="E451" t="s">
        <v>209</v>
      </c>
    </row>
    <row r="452" spans="4:5" x14ac:dyDescent="0.3">
      <c r="D452" t="s">
        <v>492</v>
      </c>
      <c r="E452" t="s">
        <v>209</v>
      </c>
    </row>
    <row r="453" spans="4:5" x14ac:dyDescent="0.3">
      <c r="D453" t="s">
        <v>493</v>
      </c>
      <c r="E453" t="s">
        <v>209</v>
      </c>
    </row>
    <row r="454" spans="4:5" x14ac:dyDescent="0.3">
      <c r="D454" t="s">
        <v>138</v>
      </c>
      <c r="E454" t="s">
        <v>209</v>
      </c>
    </row>
    <row r="455" spans="4:5" x14ac:dyDescent="0.3">
      <c r="D455" t="s">
        <v>494</v>
      </c>
      <c r="E455" t="s">
        <v>209</v>
      </c>
    </row>
    <row r="456" spans="4:5" x14ac:dyDescent="0.3">
      <c r="D456" t="s">
        <v>495</v>
      </c>
      <c r="E456" t="s">
        <v>209</v>
      </c>
    </row>
    <row r="457" spans="4:5" x14ac:dyDescent="0.3">
      <c r="D457" t="s">
        <v>496</v>
      </c>
      <c r="E457" t="s">
        <v>209</v>
      </c>
    </row>
    <row r="458" spans="4:5" x14ac:dyDescent="0.3">
      <c r="D458" t="s">
        <v>497</v>
      </c>
      <c r="E458" t="s">
        <v>209</v>
      </c>
    </row>
    <row r="459" spans="4:5" x14ac:dyDescent="0.3">
      <c r="D459" t="s">
        <v>498</v>
      </c>
      <c r="E459" t="s">
        <v>209</v>
      </c>
    </row>
    <row r="460" spans="4:5" x14ac:dyDescent="0.3">
      <c r="D460" t="s">
        <v>500</v>
      </c>
      <c r="E460" t="s">
        <v>499</v>
      </c>
    </row>
    <row r="461" spans="4:5" x14ac:dyDescent="0.3">
      <c r="D461" t="s">
        <v>501</v>
      </c>
      <c r="E461" t="s">
        <v>499</v>
      </c>
    </row>
    <row r="462" spans="4:5" x14ac:dyDescent="0.3">
      <c r="D462" t="s">
        <v>502</v>
      </c>
      <c r="E462" t="s">
        <v>499</v>
      </c>
    </row>
    <row r="463" spans="4:5" x14ac:dyDescent="0.3">
      <c r="D463" t="s">
        <v>503</v>
      </c>
      <c r="E463" t="s">
        <v>499</v>
      </c>
    </row>
    <row r="464" spans="4:5" x14ac:dyDescent="0.3">
      <c r="D464" t="s">
        <v>504</v>
      </c>
      <c r="E464" t="s">
        <v>499</v>
      </c>
    </row>
    <row r="465" spans="4:5" x14ac:dyDescent="0.3">
      <c r="D465" t="s">
        <v>505</v>
      </c>
      <c r="E465" t="s">
        <v>499</v>
      </c>
    </row>
    <row r="466" spans="4:5" x14ac:dyDescent="0.3">
      <c r="D466" t="s">
        <v>506</v>
      </c>
      <c r="E466" t="s">
        <v>499</v>
      </c>
    </row>
    <row r="467" spans="4:5" x14ac:dyDescent="0.3">
      <c r="D467" t="s">
        <v>507</v>
      </c>
      <c r="E467" t="s">
        <v>499</v>
      </c>
    </row>
    <row r="468" spans="4:5" x14ac:dyDescent="0.3">
      <c r="D468" t="s">
        <v>508</v>
      </c>
      <c r="E468" t="s">
        <v>499</v>
      </c>
    </row>
    <row r="469" spans="4:5" x14ac:dyDescent="0.3">
      <c r="D469" t="s">
        <v>509</v>
      </c>
      <c r="E469" t="s">
        <v>499</v>
      </c>
    </row>
    <row r="470" spans="4:5" x14ac:dyDescent="0.3">
      <c r="D470" t="s">
        <v>510</v>
      </c>
      <c r="E470" t="s">
        <v>499</v>
      </c>
    </row>
    <row r="471" spans="4:5" x14ac:dyDescent="0.3">
      <c r="D471" t="s">
        <v>511</v>
      </c>
      <c r="E471" t="s">
        <v>499</v>
      </c>
    </row>
    <row r="472" spans="4:5" x14ac:dyDescent="0.3">
      <c r="D472" t="s">
        <v>512</v>
      </c>
      <c r="E472" t="s">
        <v>499</v>
      </c>
    </row>
    <row r="473" spans="4:5" x14ac:dyDescent="0.3">
      <c r="D473" t="s">
        <v>513</v>
      </c>
      <c r="E473" t="s">
        <v>499</v>
      </c>
    </row>
    <row r="474" spans="4:5" x14ac:dyDescent="0.3">
      <c r="D474" t="s">
        <v>514</v>
      </c>
      <c r="E474" t="s">
        <v>499</v>
      </c>
    </row>
    <row r="475" spans="4:5" x14ac:dyDescent="0.3">
      <c r="D475" t="s">
        <v>515</v>
      </c>
      <c r="E475" t="s">
        <v>499</v>
      </c>
    </row>
    <row r="476" spans="4:5" x14ac:dyDescent="0.3">
      <c r="D476" t="s">
        <v>516</v>
      </c>
      <c r="E476" t="s">
        <v>499</v>
      </c>
    </row>
    <row r="477" spans="4:5" x14ac:dyDescent="0.3">
      <c r="D477" t="s">
        <v>517</v>
      </c>
      <c r="E477" t="s">
        <v>499</v>
      </c>
    </row>
    <row r="478" spans="4:5" x14ac:dyDescent="0.3">
      <c r="D478" t="s">
        <v>518</v>
      </c>
      <c r="E478" t="s">
        <v>499</v>
      </c>
    </row>
    <row r="479" spans="4:5" x14ac:dyDescent="0.3">
      <c r="D479" t="s">
        <v>519</v>
      </c>
      <c r="E479" t="s">
        <v>499</v>
      </c>
    </row>
    <row r="480" spans="4:5" x14ac:dyDescent="0.3">
      <c r="D480" t="s">
        <v>520</v>
      </c>
      <c r="E480" t="s">
        <v>499</v>
      </c>
    </row>
    <row r="481" spans="4:5" x14ac:dyDescent="0.3">
      <c r="D481" t="s">
        <v>521</v>
      </c>
      <c r="E481" t="s">
        <v>499</v>
      </c>
    </row>
    <row r="482" spans="4:5" x14ac:dyDescent="0.3">
      <c r="D482" t="s">
        <v>522</v>
      </c>
      <c r="E482" t="s">
        <v>499</v>
      </c>
    </row>
    <row r="483" spans="4:5" x14ac:dyDescent="0.3">
      <c r="D483" t="s">
        <v>213</v>
      </c>
      <c r="E483" t="s">
        <v>499</v>
      </c>
    </row>
    <row r="484" spans="4:5" x14ac:dyDescent="0.3">
      <c r="D484" t="s">
        <v>523</v>
      </c>
      <c r="E484" t="s">
        <v>499</v>
      </c>
    </row>
    <row r="485" spans="4:5" x14ac:dyDescent="0.3">
      <c r="D485" t="s">
        <v>524</v>
      </c>
      <c r="E485" t="s">
        <v>499</v>
      </c>
    </row>
    <row r="486" spans="4:5" x14ac:dyDescent="0.3">
      <c r="D486" t="s">
        <v>525</v>
      </c>
      <c r="E486" t="s">
        <v>499</v>
      </c>
    </row>
    <row r="487" spans="4:5" x14ac:dyDescent="0.3">
      <c r="D487" t="s">
        <v>526</v>
      </c>
      <c r="E487" t="s">
        <v>499</v>
      </c>
    </row>
    <row r="488" spans="4:5" x14ac:dyDescent="0.3">
      <c r="D488" t="s">
        <v>527</v>
      </c>
      <c r="E488" t="s">
        <v>499</v>
      </c>
    </row>
    <row r="489" spans="4:5" x14ac:dyDescent="0.3">
      <c r="D489" t="s">
        <v>528</v>
      </c>
      <c r="E489" t="s">
        <v>499</v>
      </c>
    </row>
    <row r="490" spans="4:5" x14ac:dyDescent="0.3">
      <c r="D490" t="s">
        <v>529</v>
      </c>
      <c r="E490" t="s">
        <v>499</v>
      </c>
    </row>
    <row r="491" spans="4:5" x14ac:dyDescent="0.3">
      <c r="D491" t="s">
        <v>530</v>
      </c>
      <c r="E491" t="s">
        <v>499</v>
      </c>
    </row>
    <row r="492" spans="4:5" x14ac:dyDescent="0.3">
      <c r="D492" t="s">
        <v>531</v>
      </c>
      <c r="E492" t="s">
        <v>499</v>
      </c>
    </row>
    <row r="493" spans="4:5" x14ac:dyDescent="0.3">
      <c r="D493" t="s">
        <v>532</v>
      </c>
      <c r="E493" t="s">
        <v>499</v>
      </c>
    </row>
    <row r="494" spans="4:5" x14ac:dyDescent="0.3">
      <c r="D494" t="s">
        <v>533</v>
      </c>
      <c r="E494" t="s">
        <v>499</v>
      </c>
    </row>
    <row r="495" spans="4:5" x14ac:dyDescent="0.3">
      <c r="D495" t="s">
        <v>534</v>
      </c>
      <c r="E495" t="s">
        <v>499</v>
      </c>
    </row>
    <row r="496" spans="4:5" x14ac:dyDescent="0.3">
      <c r="D496" t="s">
        <v>101</v>
      </c>
      <c r="E496" t="s">
        <v>499</v>
      </c>
    </row>
    <row r="497" spans="4:5" x14ac:dyDescent="0.3">
      <c r="D497" t="s">
        <v>535</v>
      </c>
      <c r="E497" t="s">
        <v>499</v>
      </c>
    </row>
    <row r="498" spans="4:5" x14ac:dyDescent="0.3">
      <c r="D498" t="s">
        <v>536</v>
      </c>
      <c r="E498" t="s">
        <v>499</v>
      </c>
    </row>
    <row r="499" spans="4:5" x14ac:dyDescent="0.3">
      <c r="D499" t="s">
        <v>537</v>
      </c>
      <c r="E499" t="s">
        <v>499</v>
      </c>
    </row>
    <row r="500" spans="4:5" x14ac:dyDescent="0.3">
      <c r="D500" t="s">
        <v>538</v>
      </c>
      <c r="E500" t="s">
        <v>499</v>
      </c>
    </row>
    <row r="501" spans="4:5" x14ac:dyDescent="0.3">
      <c r="D501" t="s">
        <v>539</v>
      </c>
      <c r="E501" t="s">
        <v>499</v>
      </c>
    </row>
    <row r="502" spans="4:5" x14ac:dyDescent="0.3">
      <c r="D502" t="s">
        <v>540</v>
      </c>
      <c r="E502" t="s">
        <v>499</v>
      </c>
    </row>
    <row r="503" spans="4:5" x14ac:dyDescent="0.3">
      <c r="D503" t="s">
        <v>541</v>
      </c>
      <c r="E503" t="s">
        <v>499</v>
      </c>
    </row>
    <row r="504" spans="4:5" x14ac:dyDescent="0.3">
      <c r="D504" t="s">
        <v>542</v>
      </c>
      <c r="E504" t="s">
        <v>499</v>
      </c>
    </row>
    <row r="505" spans="4:5" x14ac:dyDescent="0.3">
      <c r="D505" t="s">
        <v>543</v>
      </c>
      <c r="E505" t="s">
        <v>499</v>
      </c>
    </row>
    <row r="506" spans="4:5" x14ac:dyDescent="0.3">
      <c r="D506" t="s">
        <v>544</v>
      </c>
      <c r="E506" t="s">
        <v>499</v>
      </c>
    </row>
    <row r="507" spans="4:5" x14ac:dyDescent="0.3">
      <c r="D507" t="s">
        <v>545</v>
      </c>
      <c r="E507" t="s">
        <v>499</v>
      </c>
    </row>
    <row r="508" spans="4:5" x14ac:dyDescent="0.3">
      <c r="D508" t="s">
        <v>546</v>
      </c>
      <c r="E508" t="s">
        <v>499</v>
      </c>
    </row>
    <row r="509" spans="4:5" x14ac:dyDescent="0.3">
      <c r="D509" t="s">
        <v>547</v>
      </c>
      <c r="E509" t="s">
        <v>499</v>
      </c>
    </row>
    <row r="510" spans="4:5" x14ac:dyDescent="0.3">
      <c r="D510" t="s">
        <v>548</v>
      </c>
      <c r="E510" t="s">
        <v>499</v>
      </c>
    </row>
    <row r="511" spans="4:5" x14ac:dyDescent="0.3">
      <c r="D511" t="s">
        <v>423</v>
      </c>
      <c r="E511" t="s">
        <v>499</v>
      </c>
    </row>
    <row r="512" spans="4:5" x14ac:dyDescent="0.3">
      <c r="D512" t="s">
        <v>549</v>
      </c>
      <c r="E512" t="s">
        <v>499</v>
      </c>
    </row>
    <row r="513" spans="4:5" x14ac:dyDescent="0.3">
      <c r="D513" t="s">
        <v>550</v>
      </c>
      <c r="E513" t="s">
        <v>499</v>
      </c>
    </row>
    <row r="514" spans="4:5" x14ac:dyDescent="0.3">
      <c r="D514" t="s">
        <v>551</v>
      </c>
      <c r="E514" t="s">
        <v>499</v>
      </c>
    </row>
    <row r="515" spans="4:5" x14ac:dyDescent="0.3">
      <c r="D515" t="s">
        <v>552</v>
      </c>
      <c r="E515" t="s">
        <v>499</v>
      </c>
    </row>
    <row r="516" spans="4:5" x14ac:dyDescent="0.3">
      <c r="D516" t="s">
        <v>553</v>
      </c>
      <c r="E516" t="s">
        <v>499</v>
      </c>
    </row>
    <row r="517" spans="4:5" x14ac:dyDescent="0.3">
      <c r="D517" t="s">
        <v>554</v>
      </c>
      <c r="E517" t="s">
        <v>499</v>
      </c>
    </row>
    <row r="518" spans="4:5" x14ac:dyDescent="0.3">
      <c r="D518" t="s">
        <v>121</v>
      </c>
      <c r="E518" t="s">
        <v>499</v>
      </c>
    </row>
    <row r="519" spans="4:5" x14ac:dyDescent="0.3">
      <c r="D519" t="s">
        <v>555</v>
      </c>
      <c r="E519" t="s">
        <v>499</v>
      </c>
    </row>
    <row r="520" spans="4:5" x14ac:dyDescent="0.3">
      <c r="D520" t="s">
        <v>556</v>
      </c>
      <c r="E520" t="s">
        <v>499</v>
      </c>
    </row>
    <row r="521" spans="4:5" x14ac:dyDescent="0.3">
      <c r="D521" t="s">
        <v>557</v>
      </c>
      <c r="E521" t="s">
        <v>499</v>
      </c>
    </row>
    <row r="522" spans="4:5" x14ac:dyDescent="0.3">
      <c r="D522" t="s">
        <v>558</v>
      </c>
      <c r="E522" t="s">
        <v>499</v>
      </c>
    </row>
    <row r="523" spans="4:5" x14ac:dyDescent="0.3">
      <c r="D523" t="s">
        <v>167</v>
      </c>
      <c r="E523" t="s">
        <v>499</v>
      </c>
    </row>
    <row r="524" spans="4:5" x14ac:dyDescent="0.3">
      <c r="D524" t="s">
        <v>559</v>
      </c>
      <c r="E524" t="s">
        <v>499</v>
      </c>
    </row>
    <row r="525" spans="4:5" x14ac:dyDescent="0.3">
      <c r="D525" t="s">
        <v>560</v>
      </c>
      <c r="E525" t="s">
        <v>499</v>
      </c>
    </row>
    <row r="526" spans="4:5" x14ac:dyDescent="0.3">
      <c r="D526" t="s">
        <v>561</v>
      </c>
      <c r="E526" t="s">
        <v>499</v>
      </c>
    </row>
    <row r="527" spans="4:5" x14ac:dyDescent="0.3">
      <c r="D527" t="s">
        <v>562</v>
      </c>
      <c r="E527" t="s">
        <v>499</v>
      </c>
    </row>
    <row r="528" spans="4:5" x14ac:dyDescent="0.3">
      <c r="D528" t="s">
        <v>563</v>
      </c>
      <c r="E528" t="s">
        <v>499</v>
      </c>
    </row>
    <row r="529" spans="4:5" x14ac:dyDescent="0.3">
      <c r="D529" t="s">
        <v>564</v>
      </c>
      <c r="E529" t="s">
        <v>499</v>
      </c>
    </row>
    <row r="530" spans="4:5" x14ac:dyDescent="0.3">
      <c r="D530" t="s">
        <v>565</v>
      </c>
      <c r="E530" t="s">
        <v>499</v>
      </c>
    </row>
    <row r="531" spans="4:5" x14ac:dyDescent="0.3">
      <c r="D531" t="s">
        <v>566</v>
      </c>
      <c r="E531" t="s">
        <v>499</v>
      </c>
    </row>
    <row r="532" spans="4:5" x14ac:dyDescent="0.3">
      <c r="D532" t="s">
        <v>567</v>
      </c>
      <c r="E532" t="s">
        <v>499</v>
      </c>
    </row>
    <row r="533" spans="4:5" x14ac:dyDescent="0.3">
      <c r="D533" t="s">
        <v>568</v>
      </c>
      <c r="E533" t="s">
        <v>499</v>
      </c>
    </row>
    <row r="534" spans="4:5" x14ac:dyDescent="0.3">
      <c r="D534" t="s">
        <v>569</v>
      </c>
      <c r="E534" t="s">
        <v>499</v>
      </c>
    </row>
    <row r="535" spans="4:5" x14ac:dyDescent="0.3">
      <c r="D535" t="s">
        <v>570</v>
      </c>
      <c r="E535" t="s">
        <v>499</v>
      </c>
    </row>
    <row r="536" spans="4:5" x14ac:dyDescent="0.3">
      <c r="D536" t="s">
        <v>571</v>
      </c>
      <c r="E536" t="s">
        <v>499</v>
      </c>
    </row>
    <row r="537" spans="4:5" x14ac:dyDescent="0.3">
      <c r="D537" t="s">
        <v>572</v>
      </c>
      <c r="E537" t="s">
        <v>499</v>
      </c>
    </row>
    <row r="538" spans="4:5" x14ac:dyDescent="0.3">
      <c r="D538" t="s">
        <v>573</v>
      </c>
      <c r="E538" t="s">
        <v>499</v>
      </c>
    </row>
    <row r="539" spans="4:5" x14ac:dyDescent="0.3">
      <c r="D539" t="s">
        <v>139</v>
      </c>
      <c r="E539" t="s">
        <v>499</v>
      </c>
    </row>
    <row r="540" spans="4:5" x14ac:dyDescent="0.3">
      <c r="D540" t="s">
        <v>574</v>
      </c>
      <c r="E540" t="s">
        <v>499</v>
      </c>
    </row>
    <row r="541" spans="4:5" x14ac:dyDescent="0.3">
      <c r="D541" t="s">
        <v>575</v>
      </c>
      <c r="E541" t="s">
        <v>499</v>
      </c>
    </row>
    <row r="542" spans="4:5" x14ac:dyDescent="0.3">
      <c r="D542" t="s">
        <v>576</v>
      </c>
      <c r="E542" t="s">
        <v>499</v>
      </c>
    </row>
    <row r="543" spans="4:5" x14ac:dyDescent="0.3">
      <c r="D543" t="s">
        <v>577</v>
      </c>
      <c r="E543" t="s">
        <v>499</v>
      </c>
    </row>
    <row r="544" spans="4:5" x14ac:dyDescent="0.3">
      <c r="D544" t="s">
        <v>578</v>
      </c>
      <c r="E544" t="s">
        <v>499</v>
      </c>
    </row>
    <row r="545" spans="4:5" x14ac:dyDescent="0.3">
      <c r="D545" t="s">
        <v>579</v>
      </c>
      <c r="E545" t="s">
        <v>499</v>
      </c>
    </row>
    <row r="546" spans="4:5" x14ac:dyDescent="0.3">
      <c r="D546" t="s">
        <v>580</v>
      </c>
      <c r="E546" t="s">
        <v>499</v>
      </c>
    </row>
    <row r="547" spans="4:5" x14ac:dyDescent="0.3">
      <c r="D547" t="s">
        <v>581</v>
      </c>
      <c r="E547" t="s">
        <v>499</v>
      </c>
    </row>
    <row r="548" spans="4:5" x14ac:dyDescent="0.3">
      <c r="D548" t="s">
        <v>582</v>
      </c>
      <c r="E548" t="s">
        <v>499</v>
      </c>
    </row>
    <row r="549" spans="4:5" x14ac:dyDescent="0.3">
      <c r="D549" t="s">
        <v>583</v>
      </c>
      <c r="E549" t="s">
        <v>499</v>
      </c>
    </row>
    <row r="550" spans="4:5" x14ac:dyDescent="0.3">
      <c r="D550" t="s">
        <v>584</v>
      </c>
      <c r="E550" t="s">
        <v>499</v>
      </c>
    </row>
    <row r="551" spans="4:5" x14ac:dyDescent="0.3">
      <c r="D551" t="s">
        <v>585</v>
      </c>
      <c r="E551" t="s">
        <v>499</v>
      </c>
    </row>
    <row r="552" spans="4:5" x14ac:dyDescent="0.3">
      <c r="D552" t="s">
        <v>586</v>
      </c>
      <c r="E552" t="s">
        <v>499</v>
      </c>
    </row>
    <row r="553" spans="4:5" x14ac:dyDescent="0.3">
      <c r="D553" t="s">
        <v>587</v>
      </c>
      <c r="E553" t="s">
        <v>499</v>
      </c>
    </row>
    <row r="554" spans="4:5" x14ac:dyDescent="0.3">
      <c r="D554" t="s">
        <v>588</v>
      </c>
      <c r="E554" t="s">
        <v>499</v>
      </c>
    </row>
    <row r="555" spans="4:5" x14ac:dyDescent="0.3">
      <c r="D555" t="s">
        <v>589</v>
      </c>
      <c r="E555" t="s">
        <v>499</v>
      </c>
    </row>
    <row r="556" spans="4:5" x14ac:dyDescent="0.3">
      <c r="D556" t="s">
        <v>590</v>
      </c>
      <c r="E556" t="s">
        <v>499</v>
      </c>
    </row>
    <row r="557" spans="4:5" x14ac:dyDescent="0.3">
      <c r="D557" t="s">
        <v>591</v>
      </c>
      <c r="E557" t="s">
        <v>499</v>
      </c>
    </row>
    <row r="558" spans="4:5" x14ac:dyDescent="0.3">
      <c r="D558" t="s">
        <v>592</v>
      </c>
      <c r="E558" t="s">
        <v>499</v>
      </c>
    </row>
    <row r="559" spans="4:5" x14ac:dyDescent="0.3">
      <c r="D559" t="s">
        <v>593</v>
      </c>
      <c r="E559" t="s">
        <v>499</v>
      </c>
    </row>
    <row r="560" spans="4:5" x14ac:dyDescent="0.3">
      <c r="D560" t="s">
        <v>594</v>
      </c>
      <c r="E560" t="s">
        <v>499</v>
      </c>
    </row>
    <row r="561" spans="4:5" x14ac:dyDescent="0.3">
      <c r="D561" t="s">
        <v>595</v>
      </c>
      <c r="E561" t="s">
        <v>499</v>
      </c>
    </row>
    <row r="562" spans="4:5" x14ac:dyDescent="0.3">
      <c r="D562" t="s">
        <v>596</v>
      </c>
      <c r="E562" t="s">
        <v>499</v>
      </c>
    </row>
    <row r="563" spans="4:5" x14ac:dyDescent="0.3">
      <c r="D563" t="s">
        <v>597</v>
      </c>
      <c r="E563" t="s">
        <v>499</v>
      </c>
    </row>
    <row r="564" spans="4:5" x14ac:dyDescent="0.3">
      <c r="D564" t="s">
        <v>598</v>
      </c>
      <c r="E564" t="s">
        <v>499</v>
      </c>
    </row>
    <row r="565" spans="4:5" x14ac:dyDescent="0.3">
      <c r="D565" t="s">
        <v>599</v>
      </c>
      <c r="E565" t="s">
        <v>499</v>
      </c>
    </row>
    <row r="566" spans="4:5" x14ac:dyDescent="0.3">
      <c r="D566" t="s">
        <v>600</v>
      </c>
      <c r="E566" t="s">
        <v>499</v>
      </c>
    </row>
    <row r="567" spans="4:5" x14ac:dyDescent="0.3">
      <c r="D567" t="s">
        <v>601</v>
      </c>
      <c r="E567" t="s">
        <v>499</v>
      </c>
    </row>
    <row r="568" spans="4:5" x14ac:dyDescent="0.3">
      <c r="D568" t="s">
        <v>602</v>
      </c>
      <c r="E568" t="s">
        <v>499</v>
      </c>
    </row>
    <row r="569" spans="4:5" x14ac:dyDescent="0.3">
      <c r="D569" t="s">
        <v>603</v>
      </c>
      <c r="E569" t="s">
        <v>499</v>
      </c>
    </row>
    <row r="570" spans="4:5" x14ac:dyDescent="0.3">
      <c r="D570" t="s">
        <v>604</v>
      </c>
      <c r="E570" t="s">
        <v>499</v>
      </c>
    </row>
    <row r="571" spans="4:5" x14ac:dyDescent="0.3">
      <c r="D571" t="s">
        <v>605</v>
      </c>
      <c r="E571" t="s">
        <v>499</v>
      </c>
    </row>
    <row r="572" spans="4:5" x14ac:dyDescent="0.3">
      <c r="D572" t="s">
        <v>606</v>
      </c>
      <c r="E572" t="s">
        <v>499</v>
      </c>
    </row>
    <row r="573" spans="4:5" x14ac:dyDescent="0.3">
      <c r="D573" t="s">
        <v>607</v>
      </c>
      <c r="E573" t="s">
        <v>499</v>
      </c>
    </row>
    <row r="574" spans="4:5" x14ac:dyDescent="0.3">
      <c r="D574" t="s">
        <v>608</v>
      </c>
      <c r="E574" t="s">
        <v>499</v>
      </c>
    </row>
    <row r="575" spans="4:5" x14ac:dyDescent="0.3">
      <c r="D575" t="s">
        <v>609</v>
      </c>
      <c r="E575" t="s">
        <v>499</v>
      </c>
    </row>
    <row r="576" spans="4:5" x14ac:dyDescent="0.3">
      <c r="D576" t="s">
        <v>611</v>
      </c>
      <c r="E576" t="s">
        <v>610</v>
      </c>
    </row>
    <row r="577" spans="4:5" x14ac:dyDescent="0.3">
      <c r="D577" t="s">
        <v>612</v>
      </c>
      <c r="E577" t="s">
        <v>610</v>
      </c>
    </row>
    <row r="578" spans="4:5" x14ac:dyDescent="0.3">
      <c r="D578" t="s">
        <v>613</v>
      </c>
      <c r="E578" t="s">
        <v>610</v>
      </c>
    </row>
    <row r="579" spans="4:5" x14ac:dyDescent="0.3">
      <c r="D579" t="s">
        <v>614</v>
      </c>
      <c r="E579" t="s">
        <v>610</v>
      </c>
    </row>
    <row r="580" spans="4:5" x14ac:dyDescent="0.3">
      <c r="D580" t="s">
        <v>615</v>
      </c>
      <c r="E580" t="s">
        <v>610</v>
      </c>
    </row>
    <row r="581" spans="4:5" x14ac:dyDescent="0.3">
      <c r="D581" t="s">
        <v>616</v>
      </c>
      <c r="E581" t="s">
        <v>610</v>
      </c>
    </row>
    <row r="582" spans="4:5" x14ac:dyDescent="0.3">
      <c r="D582" t="s">
        <v>617</v>
      </c>
      <c r="E582" t="s">
        <v>610</v>
      </c>
    </row>
    <row r="583" spans="4:5" x14ac:dyDescent="0.3">
      <c r="D583" t="s">
        <v>618</v>
      </c>
      <c r="E583" t="s">
        <v>610</v>
      </c>
    </row>
    <row r="584" spans="4:5" x14ac:dyDescent="0.3">
      <c r="D584" t="s">
        <v>619</v>
      </c>
      <c r="E584" t="s">
        <v>610</v>
      </c>
    </row>
    <row r="585" spans="4:5" x14ac:dyDescent="0.3">
      <c r="D585" t="s">
        <v>620</v>
      </c>
      <c r="E585" t="s">
        <v>610</v>
      </c>
    </row>
    <row r="586" spans="4:5" x14ac:dyDescent="0.3">
      <c r="D586" t="s">
        <v>621</v>
      </c>
      <c r="E586" t="s">
        <v>610</v>
      </c>
    </row>
    <row r="587" spans="4:5" x14ac:dyDescent="0.3">
      <c r="D587" t="s">
        <v>622</v>
      </c>
      <c r="E587" t="s">
        <v>610</v>
      </c>
    </row>
    <row r="588" spans="4:5" x14ac:dyDescent="0.3">
      <c r="D588" t="s">
        <v>623</v>
      </c>
      <c r="E588" t="s">
        <v>610</v>
      </c>
    </row>
    <row r="589" spans="4:5" x14ac:dyDescent="0.3">
      <c r="D589" t="s">
        <v>624</v>
      </c>
      <c r="E589" t="s">
        <v>610</v>
      </c>
    </row>
    <row r="590" spans="4:5" x14ac:dyDescent="0.3">
      <c r="D590" t="s">
        <v>625</v>
      </c>
      <c r="E590" t="s">
        <v>610</v>
      </c>
    </row>
    <row r="591" spans="4:5" x14ac:dyDescent="0.3">
      <c r="D591" t="s">
        <v>626</v>
      </c>
      <c r="E591" t="s">
        <v>610</v>
      </c>
    </row>
    <row r="592" spans="4:5" x14ac:dyDescent="0.3">
      <c r="D592" t="s">
        <v>627</v>
      </c>
      <c r="E592" t="s">
        <v>610</v>
      </c>
    </row>
    <row r="593" spans="4:5" x14ac:dyDescent="0.3">
      <c r="D593" t="s">
        <v>628</v>
      </c>
      <c r="E593" t="s">
        <v>610</v>
      </c>
    </row>
    <row r="594" spans="4:5" x14ac:dyDescent="0.3">
      <c r="D594" t="s">
        <v>629</v>
      </c>
      <c r="E594" t="s">
        <v>610</v>
      </c>
    </row>
    <row r="595" spans="4:5" x14ac:dyDescent="0.3">
      <c r="D595" t="s">
        <v>630</v>
      </c>
      <c r="E595" t="s">
        <v>610</v>
      </c>
    </row>
    <row r="596" spans="4:5" x14ac:dyDescent="0.3">
      <c r="D596" t="s">
        <v>631</v>
      </c>
      <c r="E596" t="s">
        <v>610</v>
      </c>
    </row>
    <row r="597" spans="4:5" x14ac:dyDescent="0.3">
      <c r="D597" t="s">
        <v>632</v>
      </c>
      <c r="E597" t="s">
        <v>610</v>
      </c>
    </row>
    <row r="598" spans="4:5" x14ac:dyDescent="0.3">
      <c r="D598" t="s">
        <v>633</v>
      </c>
      <c r="E598" t="s">
        <v>610</v>
      </c>
    </row>
    <row r="599" spans="4:5" x14ac:dyDescent="0.3">
      <c r="D599" t="s">
        <v>634</v>
      </c>
      <c r="E599" t="s">
        <v>610</v>
      </c>
    </row>
    <row r="600" spans="4:5" x14ac:dyDescent="0.3">
      <c r="D600" t="s">
        <v>383</v>
      </c>
      <c r="E600" t="s">
        <v>610</v>
      </c>
    </row>
    <row r="601" spans="4:5" x14ac:dyDescent="0.3">
      <c r="D601" t="s">
        <v>635</v>
      </c>
      <c r="E601" t="s">
        <v>610</v>
      </c>
    </row>
    <row r="602" spans="4:5" x14ac:dyDescent="0.3">
      <c r="D602" t="s">
        <v>636</v>
      </c>
      <c r="E602" t="s">
        <v>610</v>
      </c>
    </row>
    <row r="603" spans="4:5" x14ac:dyDescent="0.3">
      <c r="D603" t="s">
        <v>637</v>
      </c>
      <c r="E603" t="s">
        <v>610</v>
      </c>
    </row>
    <row r="604" spans="4:5" x14ac:dyDescent="0.3">
      <c r="D604" t="s">
        <v>638</v>
      </c>
      <c r="E604" t="s">
        <v>610</v>
      </c>
    </row>
    <row r="605" spans="4:5" x14ac:dyDescent="0.3">
      <c r="D605" t="s">
        <v>639</v>
      </c>
      <c r="E605" t="s">
        <v>610</v>
      </c>
    </row>
    <row r="606" spans="4:5" x14ac:dyDescent="0.3">
      <c r="D606" t="s">
        <v>641</v>
      </c>
      <c r="E606" t="s">
        <v>640</v>
      </c>
    </row>
    <row r="607" spans="4:5" x14ac:dyDescent="0.3">
      <c r="D607" t="s">
        <v>642</v>
      </c>
      <c r="E607" t="s">
        <v>640</v>
      </c>
    </row>
    <row r="608" spans="4:5" x14ac:dyDescent="0.3">
      <c r="D608" t="s">
        <v>643</v>
      </c>
      <c r="E608" t="s">
        <v>640</v>
      </c>
    </row>
    <row r="609" spans="4:5" x14ac:dyDescent="0.3">
      <c r="D609" t="s">
        <v>644</v>
      </c>
      <c r="E609" t="s">
        <v>640</v>
      </c>
    </row>
    <row r="610" spans="4:5" x14ac:dyDescent="0.3">
      <c r="D610" t="s">
        <v>645</v>
      </c>
      <c r="E610" t="s">
        <v>640</v>
      </c>
    </row>
    <row r="611" spans="4:5" x14ac:dyDescent="0.3">
      <c r="D611" t="s">
        <v>646</v>
      </c>
      <c r="E611" t="s">
        <v>640</v>
      </c>
    </row>
    <row r="612" spans="4:5" x14ac:dyDescent="0.3">
      <c r="D612" t="s">
        <v>647</v>
      </c>
      <c r="E612" t="s">
        <v>640</v>
      </c>
    </row>
    <row r="613" spans="4:5" x14ac:dyDescent="0.3">
      <c r="D613" t="s">
        <v>648</v>
      </c>
      <c r="E613" t="s">
        <v>640</v>
      </c>
    </row>
    <row r="614" spans="4:5" x14ac:dyDescent="0.3">
      <c r="D614" t="s">
        <v>47</v>
      </c>
      <c r="E614" t="s">
        <v>640</v>
      </c>
    </row>
    <row r="615" spans="4:5" x14ac:dyDescent="0.3">
      <c r="D615" t="s">
        <v>649</v>
      </c>
      <c r="E615" t="s">
        <v>640</v>
      </c>
    </row>
    <row r="616" spans="4:5" x14ac:dyDescent="0.3">
      <c r="D616" t="s">
        <v>650</v>
      </c>
      <c r="E616" t="s">
        <v>640</v>
      </c>
    </row>
    <row r="617" spans="4:5" x14ac:dyDescent="0.3">
      <c r="D617" t="s">
        <v>651</v>
      </c>
      <c r="E617" t="s">
        <v>640</v>
      </c>
    </row>
    <row r="618" spans="4:5" x14ac:dyDescent="0.3">
      <c r="D618" t="s">
        <v>102</v>
      </c>
      <c r="E618" t="s">
        <v>640</v>
      </c>
    </row>
    <row r="619" spans="4:5" x14ac:dyDescent="0.3">
      <c r="D619" t="s">
        <v>652</v>
      </c>
      <c r="E619" t="s">
        <v>640</v>
      </c>
    </row>
    <row r="620" spans="4:5" x14ac:dyDescent="0.3">
      <c r="D620" t="s">
        <v>653</v>
      </c>
      <c r="E620" t="s">
        <v>640</v>
      </c>
    </row>
    <row r="621" spans="4:5" x14ac:dyDescent="0.3">
      <c r="D621" t="s">
        <v>654</v>
      </c>
      <c r="E621" t="s">
        <v>640</v>
      </c>
    </row>
    <row r="622" spans="4:5" x14ac:dyDescent="0.3">
      <c r="D622" t="s">
        <v>655</v>
      </c>
      <c r="E622" t="s">
        <v>640</v>
      </c>
    </row>
    <row r="623" spans="4:5" x14ac:dyDescent="0.3">
      <c r="D623" t="s">
        <v>656</v>
      </c>
      <c r="E623" t="s">
        <v>640</v>
      </c>
    </row>
    <row r="624" spans="4:5" x14ac:dyDescent="0.3">
      <c r="D624" t="s">
        <v>657</v>
      </c>
      <c r="E624" t="s">
        <v>640</v>
      </c>
    </row>
    <row r="625" spans="4:5" x14ac:dyDescent="0.3">
      <c r="D625" t="s">
        <v>658</v>
      </c>
      <c r="E625" t="s">
        <v>640</v>
      </c>
    </row>
    <row r="626" spans="4:5" x14ac:dyDescent="0.3">
      <c r="D626" t="s">
        <v>659</v>
      </c>
      <c r="E626" t="s">
        <v>640</v>
      </c>
    </row>
    <row r="627" spans="4:5" x14ac:dyDescent="0.3">
      <c r="D627" t="s">
        <v>660</v>
      </c>
      <c r="E627" t="s">
        <v>640</v>
      </c>
    </row>
    <row r="628" spans="4:5" x14ac:dyDescent="0.3">
      <c r="D628" t="s">
        <v>381</v>
      </c>
      <c r="E628" t="s">
        <v>640</v>
      </c>
    </row>
    <row r="629" spans="4:5" x14ac:dyDescent="0.3">
      <c r="D629" t="s">
        <v>661</v>
      </c>
      <c r="E629" t="s">
        <v>640</v>
      </c>
    </row>
    <row r="630" spans="4:5" x14ac:dyDescent="0.3">
      <c r="D630" t="s">
        <v>662</v>
      </c>
      <c r="E630" t="s">
        <v>640</v>
      </c>
    </row>
    <row r="631" spans="4:5" x14ac:dyDescent="0.3">
      <c r="D631" t="s">
        <v>663</v>
      </c>
      <c r="E631" t="s">
        <v>640</v>
      </c>
    </row>
    <row r="632" spans="4:5" x14ac:dyDescent="0.3">
      <c r="D632" t="s">
        <v>664</v>
      </c>
      <c r="E632" t="s">
        <v>640</v>
      </c>
    </row>
    <row r="633" spans="4:5" x14ac:dyDescent="0.3">
      <c r="D633" t="s">
        <v>665</v>
      </c>
      <c r="E633" t="s">
        <v>640</v>
      </c>
    </row>
    <row r="634" spans="4:5" x14ac:dyDescent="0.3">
      <c r="D634" t="s">
        <v>330</v>
      </c>
      <c r="E634" t="s">
        <v>640</v>
      </c>
    </row>
    <row r="635" spans="4:5" x14ac:dyDescent="0.3">
      <c r="D635" t="s">
        <v>666</v>
      </c>
      <c r="E635" t="s">
        <v>640</v>
      </c>
    </row>
    <row r="636" spans="4:5" x14ac:dyDescent="0.3">
      <c r="D636" t="s">
        <v>667</v>
      </c>
      <c r="E636" t="s">
        <v>640</v>
      </c>
    </row>
    <row r="637" spans="4:5" x14ac:dyDescent="0.3">
      <c r="D637" t="s">
        <v>668</v>
      </c>
      <c r="E637" t="s">
        <v>640</v>
      </c>
    </row>
    <row r="638" spans="4:5" x14ac:dyDescent="0.3">
      <c r="D638" t="s">
        <v>669</v>
      </c>
      <c r="E638" t="s">
        <v>640</v>
      </c>
    </row>
    <row r="639" spans="4:5" x14ac:dyDescent="0.3">
      <c r="D639" t="s">
        <v>670</v>
      </c>
      <c r="E639" t="s">
        <v>640</v>
      </c>
    </row>
    <row r="640" spans="4:5" x14ac:dyDescent="0.3">
      <c r="D640" t="s">
        <v>671</v>
      </c>
      <c r="E640" t="s">
        <v>640</v>
      </c>
    </row>
    <row r="641" spans="4:5" x14ac:dyDescent="0.3">
      <c r="D641" t="s">
        <v>672</v>
      </c>
      <c r="E641" t="s">
        <v>640</v>
      </c>
    </row>
    <row r="642" spans="4:5" x14ac:dyDescent="0.3">
      <c r="D642" t="s">
        <v>673</v>
      </c>
      <c r="E642" t="s">
        <v>640</v>
      </c>
    </row>
    <row r="643" spans="4:5" x14ac:dyDescent="0.3">
      <c r="D643" t="s">
        <v>675</v>
      </c>
      <c r="E643" t="s">
        <v>674</v>
      </c>
    </row>
    <row r="644" spans="4:5" x14ac:dyDescent="0.3">
      <c r="D644" t="s">
        <v>394</v>
      </c>
      <c r="E644" t="s">
        <v>674</v>
      </c>
    </row>
    <row r="645" spans="4:5" x14ac:dyDescent="0.3">
      <c r="D645" t="s">
        <v>676</v>
      </c>
      <c r="E645" t="s">
        <v>674</v>
      </c>
    </row>
    <row r="646" spans="4:5" x14ac:dyDescent="0.3">
      <c r="D646" t="s">
        <v>677</v>
      </c>
      <c r="E646" t="s">
        <v>674</v>
      </c>
    </row>
    <row r="647" spans="4:5" x14ac:dyDescent="0.3">
      <c r="D647" t="s">
        <v>678</v>
      </c>
      <c r="E647" t="s">
        <v>674</v>
      </c>
    </row>
    <row r="648" spans="4:5" x14ac:dyDescent="0.3">
      <c r="D648" t="s">
        <v>679</v>
      </c>
      <c r="E648" t="s">
        <v>674</v>
      </c>
    </row>
    <row r="649" spans="4:5" x14ac:dyDescent="0.3">
      <c r="D649" t="s">
        <v>680</v>
      </c>
      <c r="E649" t="s">
        <v>674</v>
      </c>
    </row>
    <row r="650" spans="4:5" x14ac:dyDescent="0.3">
      <c r="D650" t="s">
        <v>681</v>
      </c>
      <c r="E650" t="s">
        <v>674</v>
      </c>
    </row>
    <row r="651" spans="4:5" x14ac:dyDescent="0.3">
      <c r="D651" t="s">
        <v>682</v>
      </c>
      <c r="E651" t="s">
        <v>674</v>
      </c>
    </row>
    <row r="652" spans="4:5" x14ac:dyDescent="0.3">
      <c r="D652" t="s">
        <v>683</v>
      </c>
      <c r="E652" t="s">
        <v>674</v>
      </c>
    </row>
    <row r="653" spans="4:5" x14ac:dyDescent="0.3">
      <c r="D653" t="s">
        <v>684</v>
      </c>
      <c r="E653" t="s">
        <v>674</v>
      </c>
    </row>
    <row r="654" spans="4:5" x14ac:dyDescent="0.3">
      <c r="D654" t="s">
        <v>685</v>
      </c>
      <c r="E654" t="s">
        <v>674</v>
      </c>
    </row>
    <row r="655" spans="4:5" x14ac:dyDescent="0.3">
      <c r="D655" t="s">
        <v>686</v>
      </c>
      <c r="E655" t="s">
        <v>674</v>
      </c>
    </row>
    <row r="656" spans="4:5" x14ac:dyDescent="0.3">
      <c r="D656" t="s">
        <v>687</v>
      </c>
      <c r="E656" t="s">
        <v>674</v>
      </c>
    </row>
    <row r="657" spans="4:5" x14ac:dyDescent="0.3">
      <c r="D657" t="s">
        <v>243</v>
      </c>
      <c r="E657" t="s">
        <v>674</v>
      </c>
    </row>
    <row r="658" spans="4:5" x14ac:dyDescent="0.3">
      <c r="D658" t="s">
        <v>689</v>
      </c>
      <c r="E658" t="s">
        <v>688</v>
      </c>
    </row>
    <row r="659" spans="4:5" x14ac:dyDescent="0.3">
      <c r="D659" t="s">
        <v>690</v>
      </c>
      <c r="E659" t="s">
        <v>688</v>
      </c>
    </row>
    <row r="660" spans="4:5" x14ac:dyDescent="0.3">
      <c r="D660" t="s">
        <v>691</v>
      </c>
      <c r="E660" t="s">
        <v>688</v>
      </c>
    </row>
    <row r="661" spans="4:5" x14ac:dyDescent="0.3">
      <c r="D661" t="s">
        <v>692</v>
      </c>
      <c r="E661" t="s">
        <v>688</v>
      </c>
    </row>
    <row r="662" spans="4:5" x14ac:dyDescent="0.3">
      <c r="D662" t="s">
        <v>693</v>
      </c>
      <c r="E662" t="s">
        <v>688</v>
      </c>
    </row>
    <row r="663" spans="4:5" x14ac:dyDescent="0.3">
      <c r="D663" t="s">
        <v>694</v>
      </c>
      <c r="E663" t="s">
        <v>688</v>
      </c>
    </row>
    <row r="664" spans="4:5" x14ac:dyDescent="0.3">
      <c r="D664" t="s">
        <v>695</v>
      </c>
      <c r="E664" t="s">
        <v>688</v>
      </c>
    </row>
    <row r="665" spans="4:5" x14ac:dyDescent="0.3">
      <c r="D665" t="s">
        <v>88</v>
      </c>
      <c r="E665" t="s">
        <v>688</v>
      </c>
    </row>
    <row r="666" spans="4:5" x14ac:dyDescent="0.3">
      <c r="D666" t="s">
        <v>696</v>
      </c>
      <c r="E666" t="s">
        <v>688</v>
      </c>
    </row>
    <row r="667" spans="4:5" x14ac:dyDescent="0.3">
      <c r="D667" t="s">
        <v>697</v>
      </c>
      <c r="E667" t="s">
        <v>688</v>
      </c>
    </row>
    <row r="668" spans="4:5" x14ac:dyDescent="0.3">
      <c r="D668" t="s">
        <v>698</v>
      </c>
      <c r="E668" t="s">
        <v>688</v>
      </c>
    </row>
    <row r="669" spans="4:5" x14ac:dyDescent="0.3">
      <c r="D669" t="s">
        <v>699</v>
      </c>
      <c r="E669" t="s">
        <v>688</v>
      </c>
    </row>
    <row r="670" spans="4:5" x14ac:dyDescent="0.3">
      <c r="D670" t="s">
        <v>700</v>
      </c>
      <c r="E670" t="s">
        <v>688</v>
      </c>
    </row>
    <row r="671" spans="4:5" x14ac:dyDescent="0.3">
      <c r="D671" t="s">
        <v>701</v>
      </c>
      <c r="E671" t="s">
        <v>688</v>
      </c>
    </row>
    <row r="672" spans="4:5" x14ac:dyDescent="0.3">
      <c r="D672" t="s">
        <v>702</v>
      </c>
      <c r="E672" t="s">
        <v>688</v>
      </c>
    </row>
    <row r="673" spans="4:5" x14ac:dyDescent="0.3">
      <c r="D673" t="s">
        <v>703</v>
      </c>
      <c r="E673" t="s">
        <v>688</v>
      </c>
    </row>
    <row r="674" spans="4:5" x14ac:dyDescent="0.3">
      <c r="D674" t="s">
        <v>704</v>
      </c>
      <c r="E674" t="s">
        <v>688</v>
      </c>
    </row>
    <row r="675" spans="4:5" x14ac:dyDescent="0.3">
      <c r="D675" t="s">
        <v>705</v>
      </c>
      <c r="E675" t="s">
        <v>688</v>
      </c>
    </row>
    <row r="676" spans="4:5" x14ac:dyDescent="0.3">
      <c r="D676" t="s">
        <v>706</v>
      </c>
      <c r="E676" t="s">
        <v>688</v>
      </c>
    </row>
    <row r="677" spans="4:5" x14ac:dyDescent="0.3">
      <c r="D677" t="s">
        <v>707</v>
      </c>
      <c r="E677" t="s">
        <v>688</v>
      </c>
    </row>
    <row r="678" spans="4:5" x14ac:dyDescent="0.3">
      <c r="D678" t="s">
        <v>708</v>
      </c>
      <c r="E678" t="s">
        <v>688</v>
      </c>
    </row>
    <row r="679" spans="4:5" x14ac:dyDescent="0.3">
      <c r="D679" t="s">
        <v>385</v>
      </c>
      <c r="E679" t="s">
        <v>688</v>
      </c>
    </row>
    <row r="680" spans="4:5" x14ac:dyDescent="0.3">
      <c r="D680" t="s">
        <v>709</v>
      </c>
      <c r="E680" t="s">
        <v>688</v>
      </c>
    </row>
    <row r="681" spans="4:5" x14ac:dyDescent="0.3">
      <c r="D681" t="s">
        <v>710</v>
      </c>
      <c r="E681" t="s">
        <v>688</v>
      </c>
    </row>
    <row r="682" spans="4:5" x14ac:dyDescent="0.3">
      <c r="D682" t="s">
        <v>711</v>
      </c>
      <c r="E682" t="s">
        <v>688</v>
      </c>
    </row>
    <row r="683" spans="4:5" x14ac:dyDescent="0.3">
      <c r="D683" t="s">
        <v>712</v>
      </c>
      <c r="E683" t="s">
        <v>688</v>
      </c>
    </row>
    <row r="684" spans="4:5" x14ac:dyDescent="0.3">
      <c r="D684" t="s">
        <v>713</v>
      </c>
      <c r="E684" t="s">
        <v>688</v>
      </c>
    </row>
    <row r="685" spans="4:5" x14ac:dyDescent="0.3">
      <c r="D685" t="s">
        <v>714</v>
      </c>
      <c r="E685" t="s">
        <v>688</v>
      </c>
    </row>
    <row r="686" spans="4:5" x14ac:dyDescent="0.3">
      <c r="D686" t="s">
        <v>715</v>
      </c>
      <c r="E686" t="s">
        <v>688</v>
      </c>
    </row>
    <row r="687" spans="4:5" x14ac:dyDescent="0.3">
      <c r="D687" t="s">
        <v>716</v>
      </c>
      <c r="E687" t="s">
        <v>688</v>
      </c>
    </row>
    <row r="688" spans="4:5" x14ac:dyDescent="0.3">
      <c r="D688" t="s">
        <v>718</v>
      </c>
      <c r="E688" t="s">
        <v>717</v>
      </c>
    </row>
    <row r="689" spans="4:5" x14ac:dyDescent="0.3">
      <c r="D689" t="s">
        <v>719</v>
      </c>
      <c r="E689" t="s">
        <v>717</v>
      </c>
    </row>
    <row r="690" spans="4:5" x14ac:dyDescent="0.3">
      <c r="D690" t="s">
        <v>720</v>
      </c>
      <c r="E690" t="s">
        <v>717</v>
      </c>
    </row>
    <row r="691" spans="4:5" x14ac:dyDescent="0.3">
      <c r="D691" t="s">
        <v>721</v>
      </c>
      <c r="E691" t="s">
        <v>717</v>
      </c>
    </row>
    <row r="692" spans="4:5" x14ac:dyDescent="0.3">
      <c r="D692" t="s">
        <v>722</v>
      </c>
      <c r="E692" t="s">
        <v>717</v>
      </c>
    </row>
    <row r="693" spans="4:5" x14ac:dyDescent="0.3">
      <c r="D693" t="s">
        <v>723</v>
      </c>
      <c r="E693" t="s">
        <v>717</v>
      </c>
    </row>
    <row r="694" spans="4:5" x14ac:dyDescent="0.3">
      <c r="D694" t="s">
        <v>724</v>
      </c>
      <c r="E694" t="s">
        <v>717</v>
      </c>
    </row>
    <row r="695" spans="4:5" x14ac:dyDescent="0.3">
      <c r="D695" t="s">
        <v>725</v>
      </c>
      <c r="E695" t="s">
        <v>717</v>
      </c>
    </row>
    <row r="696" spans="4:5" x14ac:dyDescent="0.3">
      <c r="D696" t="s">
        <v>726</v>
      </c>
      <c r="E696" t="s">
        <v>717</v>
      </c>
    </row>
    <row r="697" spans="4:5" x14ac:dyDescent="0.3">
      <c r="D697" t="s">
        <v>727</v>
      </c>
      <c r="E697" t="s">
        <v>717</v>
      </c>
    </row>
    <row r="698" spans="4:5" x14ac:dyDescent="0.3">
      <c r="D698" t="s">
        <v>728</v>
      </c>
      <c r="E698" t="s">
        <v>717</v>
      </c>
    </row>
    <row r="699" spans="4:5" x14ac:dyDescent="0.3">
      <c r="D699" t="s">
        <v>101</v>
      </c>
      <c r="E699" t="s">
        <v>717</v>
      </c>
    </row>
    <row r="700" spans="4:5" x14ac:dyDescent="0.3">
      <c r="D700" t="s">
        <v>700</v>
      </c>
      <c r="E700" t="s">
        <v>717</v>
      </c>
    </row>
    <row r="701" spans="4:5" x14ac:dyDescent="0.3">
      <c r="D701" t="s">
        <v>729</v>
      </c>
      <c r="E701" t="s">
        <v>717</v>
      </c>
    </row>
    <row r="702" spans="4:5" x14ac:dyDescent="0.3">
      <c r="D702" t="s">
        <v>730</v>
      </c>
      <c r="E702" t="s">
        <v>717</v>
      </c>
    </row>
    <row r="703" spans="4:5" x14ac:dyDescent="0.3">
      <c r="D703" t="s">
        <v>731</v>
      </c>
      <c r="E703" t="s">
        <v>717</v>
      </c>
    </row>
    <row r="704" spans="4:5" x14ac:dyDescent="0.3">
      <c r="D704" t="s">
        <v>732</v>
      </c>
      <c r="E704" t="s">
        <v>717</v>
      </c>
    </row>
    <row r="705" spans="4:5" x14ac:dyDescent="0.3">
      <c r="D705" t="s">
        <v>733</v>
      </c>
      <c r="E705" t="s">
        <v>717</v>
      </c>
    </row>
    <row r="706" spans="4:5" x14ac:dyDescent="0.3">
      <c r="D706" t="s">
        <v>734</v>
      </c>
      <c r="E706" t="s">
        <v>717</v>
      </c>
    </row>
    <row r="707" spans="4:5" x14ac:dyDescent="0.3">
      <c r="D707" t="s">
        <v>735</v>
      </c>
      <c r="E707" t="s">
        <v>717</v>
      </c>
    </row>
    <row r="708" spans="4:5" x14ac:dyDescent="0.3">
      <c r="D708" t="s">
        <v>736</v>
      </c>
      <c r="E708" t="s">
        <v>717</v>
      </c>
    </row>
    <row r="709" spans="4:5" x14ac:dyDescent="0.3">
      <c r="D709" t="s">
        <v>737</v>
      </c>
      <c r="E709" t="s">
        <v>717</v>
      </c>
    </row>
    <row r="710" spans="4:5" x14ac:dyDescent="0.3">
      <c r="D710" t="s">
        <v>403</v>
      </c>
      <c r="E710" t="s">
        <v>717</v>
      </c>
    </row>
    <row r="711" spans="4:5" x14ac:dyDescent="0.3">
      <c r="D711" t="s">
        <v>738</v>
      </c>
      <c r="E711" t="s">
        <v>717</v>
      </c>
    </row>
    <row r="712" spans="4:5" x14ac:dyDescent="0.3">
      <c r="D712" t="s">
        <v>739</v>
      </c>
      <c r="E712" t="s">
        <v>717</v>
      </c>
    </row>
    <row r="713" spans="4:5" x14ac:dyDescent="0.3">
      <c r="D713" t="s">
        <v>740</v>
      </c>
      <c r="E713" t="s">
        <v>717</v>
      </c>
    </row>
    <row r="714" spans="4:5" x14ac:dyDescent="0.3">
      <c r="D714" t="s">
        <v>741</v>
      </c>
      <c r="E714" t="s">
        <v>717</v>
      </c>
    </row>
    <row r="715" spans="4:5" x14ac:dyDescent="0.3">
      <c r="D715" t="s">
        <v>469</v>
      </c>
      <c r="E715" t="s">
        <v>717</v>
      </c>
    </row>
    <row r="716" spans="4:5" x14ac:dyDescent="0.3">
      <c r="D716" t="s">
        <v>742</v>
      </c>
      <c r="E716" t="s">
        <v>717</v>
      </c>
    </row>
    <row r="717" spans="4:5" x14ac:dyDescent="0.3">
      <c r="D717" t="s">
        <v>743</v>
      </c>
      <c r="E717" t="s">
        <v>121</v>
      </c>
    </row>
    <row r="718" spans="4:5" x14ac:dyDescent="0.3">
      <c r="D718" t="s">
        <v>501</v>
      </c>
      <c r="E718" t="s">
        <v>121</v>
      </c>
    </row>
    <row r="719" spans="4:5" x14ac:dyDescent="0.3">
      <c r="D719" t="s">
        <v>744</v>
      </c>
      <c r="E719" t="s">
        <v>121</v>
      </c>
    </row>
    <row r="720" spans="4:5" x14ac:dyDescent="0.3">
      <c r="D720" t="s">
        <v>745</v>
      </c>
      <c r="E720" t="s">
        <v>121</v>
      </c>
    </row>
    <row r="721" spans="4:5" x14ac:dyDescent="0.3">
      <c r="D721" t="s">
        <v>746</v>
      </c>
      <c r="E721" t="s">
        <v>121</v>
      </c>
    </row>
    <row r="722" spans="4:5" x14ac:dyDescent="0.3">
      <c r="D722" t="s">
        <v>747</v>
      </c>
      <c r="E722" t="s">
        <v>121</v>
      </c>
    </row>
    <row r="723" spans="4:5" x14ac:dyDescent="0.3">
      <c r="D723" t="s">
        <v>250</v>
      </c>
      <c r="E723" t="s">
        <v>121</v>
      </c>
    </row>
    <row r="724" spans="4:5" x14ac:dyDescent="0.3">
      <c r="D724" t="s">
        <v>748</v>
      </c>
      <c r="E724" t="s">
        <v>121</v>
      </c>
    </row>
    <row r="725" spans="4:5" x14ac:dyDescent="0.3">
      <c r="D725" t="s">
        <v>749</v>
      </c>
      <c r="E725" t="s">
        <v>121</v>
      </c>
    </row>
    <row r="726" spans="4:5" x14ac:dyDescent="0.3">
      <c r="D726" t="s">
        <v>750</v>
      </c>
      <c r="E726" t="s">
        <v>121</v>
      </c>
    </row>
    <row r="727" spans="4:5" x14ac:dyDescent="0.3">
      <c r="D727" t="s">
        <v>751</v>
      </c>
      <c r="E727" t="s">
        <v>121</v>
      </c>
    </row>
    <row r="728" spans="4:5" x14ac:dyDescent="0.3">
      <c r="D728" t="s">
        <v>209</v>
      </c>
      <c r="E728" t="s">
        <v>121</v>
      </c>
    </row>
    <row r="729" spans="4:5" x14ac:dyDescent="0.3">
      <c r="D729" t="s">
        <v>752</v>
      </c>
      <c r="E729" t="s">
        <v>121</v>
      </c>
    </row>
    <row r="730" spans="4:5" x14ac:dyDescent="0.3">
      <c r="D730" t="s">
        <v>753</v>
      </c>
      <c r="E730" t="s">
        <v>121</v>
      </c>
    </row>
    <row r="731" spans="4:5" x14ac:dyDescent="0.3">
      <c r="D731" t="s">
        <v>754</v>
      </c>
      <c r="E731" t="s">
        <v>121</v>
      </c>
    </row>
    <row r="732" spans="4:5" x14ac:dyDescent="0.3">
      <c r="D732" t="s">
        <v>755</v>
      </c>
      <c r="E732" t="s">
        <v>121</v>
      </c>
    </row>
    <row r="733" spans="4:5" x14ac:dyDescent="0.3">
      <c r="D733" t="s">
        <v>756</v>
      </c>
      <c r="E733" t="s">
        <v>121</v>
      </c>
    </row>
    <row r="734" spans="4:5" x14ac:dyDescent="0.3">
      <c r="D734" t="s">
        <v>757</v>
      </c>
      <c r="E734" t="s">
        <v>121</v>
      </c>
    </row>
    <row r="735" spans="4:5" x14ac:dyDescent="0.3">
      <c r="D735" t="s">
        <v>758</v>
      </c>
      <c r="E735" t="s">
        <v>121</v>
      </c>
    </row>
    <row r="736" spans="4:5" x14ac:dyDescent="0.3">
      <c r="D736" t="s">
        <v>759</v>
      </c>
      <c r="E736" t="s">
        <v>121</v>
      </c>
    </row>
    <row r="737" spans="4:5" x14ac:dyDescent="0.3">
      <c r="D737" t="s">
        <v>417</v>
      </c>
      <c r="E737" t="s">
        <v>121</v>
      </c>
    </row>
    <row r="738" spans="4:5" x14ac:dyDescent="0.3">
      <c r="D738" t="s">
        <v>760</v>
      </c>
      <c r="E738" t="s">
        <v>121</v>
      </c>
    </row>
    <row r="739" spans="4:5" x14ac:dyDescent="0.3">
      <c r="D739" t="s">
        <v>761</v>
      </c>
      <c r="E739" t="s">
        <v>121</v>
      </c>
    </row>
    <row r="740" spans="4:5" x14ac:dyDescent="0.3">
      <c r="D740" t="s">
        <v>762</v>
      </c>
      <c r="E740" t="s">
        <v>121</v>
      </c>
    </row>
    <row r="741" spans="4:5" x14ac:dyDescent="0.3">
      <c r="D741" t="s">
        <v>763</v>
      </c>
      <c r="E741" t="s">
        <v>121</v>
      </c>
    </row>
    <row r="742" spans="4:5" x14ac:dyDescent="0.3">
      <c r="D742" t="s">
        <v>764</v>
      </c>
      <c r="E742" t="s">
        <v>121</v>
      </c>
    </row>
    <row r="743" spans="4:5" x14ac:dyDescent="0.3">
      <c r="D743" t="s">
        <v>765</v>
      </c>
      <c r="E743" t="s">
        <v>121</v>
      </c>
    </row>
    <row r="744" spans="4:5" x14ac:dyDescent="0.3">
      <c r="D744" t="s">
        <v>766</v>
      </c>
      <c r="E744" t="s">
        <v>121</v>
      </c>
    </row>
    <row r="745" spans="4:5" x14ac:dyDescent="0.3">
      <c r="D745" t="s">
        <v>767</v>
      </c>
      <c r="E745" t="s">
        <v>121</v>
      </c>
    </row>
    <row r="746" spans="4:5" x14ac:dyDescent="0.3">
      <c r="D746" t="s">
        <v>768</v>
      </c>
      <c r="E746" t="s">
        <v>121</v>
      </c>
    </row>
    <row r="747" spans="4:5" x14ac:dyDescent="0.3">
      <c r="D747" t="s">
        <v>769</v>
      </c>
      <c r="E747" t="s">
        <v>121</v>
      </c>
    </row>
    <row r="748" spans="4:5" x14ac:dyDescent="0.3">
      <c r="D748" t="s">
        <v>770</v>
      </c>
      <c r="E748" t="s">
        <v>121</v>
      </c>
    </row>
    <row r="749" spans="4:5" x14ac:dyDescent="0.3">
      <c r="D749" t="s">
        <v>114</v>
      </c>
      <c r="E749" t="s">
        <v>121</v>
      </c>
    </row>
    <row r="750" spans="4:5" x14ac:dyDescent="0.3">
      <c r="D750" t="s">
        <v>771</v>
      </c>
      <c r="E750" t="s">
        <v>121</v>
      </c>
    </row>
    <row r="751" spans="4:5" x14ac:dyDescent="0.3">
      <c r="D751" t="s">
        <v>772</v>
      </c>
      <c r="E751" t="s">
        <v>121</v>
      </c>
    </row>
    <row r="752" spans="4:5" x14ac:dyDescent="0.3">
      <c r="D752" t="s">
        <v>773</v>
      </c>
      <c r="E752" t="s">
        <v>121</v>
      </c>
    </row>
    <row r="753" spans="4:5" x14ac:dyDescent="0.3">
      <c r="D753" t="s">
        <v>774</v>
      </c>
      <c r="E753" t="s">
        <v>121</v>
      </c>
    </row>
    <row r="754" spans="4:5" x14ac:dyDescent="0.3">
      <c r="D754" t="s">
        <v>775</v>
      </c>
      <c r="E754" t="s">
        <v>121</v>
      </c>
    </row>
    <row r="755" spans="4:5" x14ac:dyDescent="0.3">
      <c r="D755" t="s">
        <v>554</v>
      </c>
      <c r="E755" t="s">
        <v>121</v>
      </c>
    </row>
    <row r="756" spans="4:5" x14ac:dyDescent="0.3">
      <c r="D756" t="s">
        <v>121</v>
      </c>
      <c r="E756" t="s">
        <v>121</v>
      </c>
    </row>
    <row r="757" spans="4:5" x14ac:dyDescent="0.3">
      <c r="D757" t="s">
        <v>776</v>
      </c>
      <c r="E757" t="s">
        <v>121</v>
      </c>
    </row>
    <row r="758" spans="4:5" x14ac:dyDescent="0.3">
      <c r="D758" t="s">
        <v>777</v>
      </c>
      <c r="E758" t="s">
        <v>121</v>
      </c>
    </row>
    <row r="759" spans="4:5" x14ac:dyDescent="0.3">
      <c r="D759" t="s">
        <v>778</v>
      </c>
      <c r="E759" t="s">
        <v>121</v>
      </c>
    </row>
    <row r="760" spans="4:5" x14ac:dyDescent="0.3">
      <c r="D760" t="s">
        <v>779</v>
      </c>
      <c r="E760" t="s">
        <v>121</v>
      </c>
    </row>
    <row r="761" spans="4:5" x14ac:dyDescent="0.3">
      <c r="D761" t="s">
        <v>780</v>
      </c>
      <c r="E761" t="s">
        <v>121</v>
      </c>
    </row>
    <row r="762" spans="4:5" x14ac:dyDescent="0.3">
      <c r="D762" t="s">
        <v>781</v>
      </c>
      <c r="E762" t="s">
        <v>121</v>
      </c>
    </row>
    <row r="763" spans="4:5" x14ac:dyDescent="0.3">
      <c r="D763" t="s">
        <v>782</v>
      </c>
      <c r="E763" t="s">
        <v>121</v>
      </c>
    </row>
    <row r="764" spans="4:5" x14ac:dyDescent="0.3">
      <c r="D764" t="s">
        <v>783</v>
      </c>
      <c r="E764" t="s">
        <v>121</v>
      </c>
    </row>
    <row r="765" spans="4:5" x14ac:dyDescent="0.3">
      <c r="D765" t="s">
        <v>570</v>
      </c>
      <c r="E765" t="s">
        <v>121</v>
      </c>
    </row>
    <row r="766" spans="4:5" x14ac:dyDescent="0.3">
      <c r="D766" t="s">
        <v>784</v>
      </c>
      <c r="E766" t="s">
        <v>121</v>
      </c>
    </row>
    <row r="767" spans="4:5" x14ac:dyDescent="0.3">
      <c r="D767" t="s">
        <v>785</v>
      </c>
      <c r="E767" t="s">
        <v>121</v>
      </c>
    </row>
    <row r="768" spans="4:5" x14ac:dyDescent="0.3">
      <c r="D768" t="s">
        <v>786</v>
      </c>
      <c r="E768" t="s">
        <v>121</v>
      </c>
    </row>
    <row r="769" spans="4:5" x14ac:dyDescent="0.3">
      <c r="D769" t="s">
        <v>572</v>
      </c>
      <c r="E769" t="s">
        <v>121</v>
      </c>
    </row>
    <row r="770" spans="4:5" x14ac:dyDescent="0.3">
      <c r="D770" t="s">
        <v>787</v>
      </c>
      <c r="E770" t="s">
        <v>121</v>
      </c>
    </row>
    <row r="771" spans="4:5" x14ac:dyDescent="0.3">
      <c r="D771" t="s">
        <v>233</v>
      </c>
      <c r="E771" t="s">
        <v>121</v>
      </c>
    </row>
    <row r="772" spans="4:5" x14ac:dyDescent="0.3">
      <c r="D772" t="s">
        <v>788</v>
      </c>
      <c r="E772" t="s">
        <v>121</v>
      </c>
    </row>
    <row r="773" spans="4:5" x14ac:dyDescent="0.3">
      <c r="D773" t="s">
        <v>149</v>
      </c>
      <c r="E773" t="s">
        <v>121</v>
      </c>
    </row>
    <row r="774" spans="4:5" x14ac:dyDescent="0.3">
      <c r="D774" t="s">
        <v>789</v>
      </c>
      <c r="E774" t="s">
        <v>121</v>
      </c>
    </row>
    <row r="775" spans="4:5" x14ac:dyDescent="0.3">
      <c r="D775" t="s">
        <v>790</v>
      </c>
      <c r="E775" t="s">
        <v>121</v>
      </c>
    </row>
    <row r="776" spans="4:5" x14ac:dyDescent="0.3">
      <c r="D776" t="s">
        <v>791</v>
      </c>
      <c r="E776" t="s">
        <v>121</v>
      </c>
    </row>
    <row r="777" spans="4:5" x14ac:dyDescent="0.3">
      <c r="D777" t="s">
        <v>792</v>
      </c>
      <c r="E777" t="s">
        <v>121</v>
      </c>
    </row>
    <row r="778" spans="4:5" x14ac:dyDescent="0.3">
      <c r="D778" t="s">
        <v>793</v>
      </c>
      <c r="E778" t="s">
        <v>121</v>
      </c>
    </row>
    <row r="779" spans="4:5" x14ac:dyDescent="0.3">
      <c r="D779" t="s">
        <v>794</v>
      </c>
      <c r="E779" t="s">
        <v>121</v>
      </c>
    </row>
    <row r="780" spans="4:5" x14ac:dyDescent="0.3">
      <c r="D780" t="s">
        <v>795</v>
      </c>
      <c r="E780" t="s">
        <v>121</v>
      </c>
    </row>
    <row r="781" spans="4:5" x14ac:dyDescent="0.3">
      <c r="D781" t="s">
        <v>797</v>
      </c>
      <c r="E781" t="s">
        <v>796</v>
      </c>
    </row>
    <row r="782" spans="4:5" x14ac:dyDescent="0.3">
      <c r="D782" t="s">
        <v>798</v>
      </c>
      <c r="E782" t="s">
        <v>796</v>
      </c>
    </row>
    <row r="783" spans="4:5" x14ac:dyDescent="0.3">
      <c r="D783" t="s">
        <v>799</v>
      </c>
      <c r="E783" t="s">
        <v>796</v>
      </c>
    </row>
    <row r="784" spans="4:5" x14ac:dyDescent="0.3">
      <c r="D784" t="s">
        <v>800</v>
      </c>
      <c r="E784" t="s">
        <v>796</v>
      </c>
    </row>
    <row r="785" spans="4:5" x14ac:dyDescent="0.3">
      <c r="D785" t="s">
        <v>801</v>
      </c>
      <c r="E785" t="s">
        <v>796</v>
      </c>
    </row>
    <row r="786" spans="4:5" x14ac:dyDescent="0.3">
      <c r="D786" t="s">
        <v>802</v>
      </c>
      <c r="E786" t="s">
        <v>796</v>
      </c>
    </row>
    <row r="787" spans="4:5" x14ac:dyDescent="0.3">
      <c r="D787" t="s">
        <v>803</v>
      </c>
      <c r="E787" t="s">
        <v>796</v>
      </c>
    </row>
    <row r="788" spans="4:5" x14ac:dyDescent="0.3">
      <c r="D788" t="s">
        <v>804</v>
      </c>
      <c r="E788" t="s">
        <v>796</v>
      </c>
    </row>
    <row r="789" spans="4:5" x14ac:dyDescent="0.3">
      <c r="D789" t="s">
        <v>805</v>
      </c>
      <c r="E789" t="s">
        <v>796</v>
      </c>
    </row>
    <row r="790" spans="4:5" x14ac:dyDescent="0.3">
      <c r="D790" t="s">
        <v>806</v>
      </c>
      <c r="E790" t="s">
        <v>796</v>
      </c>
    </row>
    <row r="791" spans="4:5" x14ac:dyDescent="0.3">
      <c r="D791" t="s">
        <v>807</v>
      </c>
      <c r="E791" t="s">
        <v>796</v>
      </c>
    </row>
    <row r="792" spans="4:5" x14ac:dyDescent="0.3">
      <c r="D792" t="s">
        <v>808</v>
      </c>
      <c r="E792" t="s">
        <v>796</v>
      </c>
    </row>
    <row r="793" spans="4:5" x14ac:dyDescent="0.3">
      <c r="D793" t="s">
        <v>809</v>
      </c>
      <c r="E793" t="s">
        <v>796</v>
      </c>
    </row>
    <row r="794" spans="4:5" x14ac:dyDescent="0.3">
      <c r="D794" t="s">
        <v>810</v>
      </c>
      <c r="E794" t="s">
        <v>796</v>
      </c>
    </row>
    <row r="795" spans="4:5" x14ac:dyDescent="0.3">
      <c r="D795" t="s">
        <v>811</v>
      </c>
      <c r="E795" t="s">
        <v>796</v>
      </c>
    </row>
    <row r="796" spans="4:5" x14ac:dyDescent="0.3">
      <c r="D796" t="s">
        <v>812</v>
      </c>
      <c r="E796" t="s">
        <v>796</v>
      </c>
    </row>
    <row r="797" spans="4:5" x14ac:dyDescent="0.3">
      <c r="D797" t="s">
        <v>813</v>
      </c>
      <c r="E797" t="s">
        <v>796</v>
      </c>
    </row>
    <row r="798" spans="4:5" x14ac:dyDescent="0.3">
      <c r="D798" t="s">
        <v>814</v>
      </c>
      <c r="E798" t="s">
        <v>796</v>
      </c>
    </row>
    <row r="799" spans="4:5" x14ac:dyDescent="0.3">
      <c r="D799" t="s">
        <v>815</v>
      </c>
      <c r="E799" t="s">
        <v>796</v>
      </c>
    </row>
    <row r="800" spans="4:5" x14ac:dyDescent="0.3">
      <c r="D800" t="s">
        <v>816</v>
      </c>
      <c r="E800" t="s">
        <v>796</v>
      </c>
    </row>
    <row r="801" spans="4:5" x14ac:dyDescent="0.3">
      <c r="D801" t="s">
        <v>817</v>
      </c>
      <c r="E801" t="s">
        <v>796</v>
      </c>
    </row>
    <row r="802" spans="4:5" x14ac:dyDescent="0.3">
      <c r="D802" t="s">
        <v>818</v>
      </c>
      <c r="E802" t="s">
        <v>796</v>
      </c>
    </row>
    <row r="803" spans="4:5" x14ac:dyDescent="0.3">
      <c r="D803" t="s">
        <v>819</v>
      </c>
      <c r="E803" t="s">
        <v>796</v>
      </c>
    </row>
    <row r="804" spans="4:5" x14ac:dyDescent="0.3">
      <c r="D804" t="s">
        <v>820</v>
      </c>
      <c r="E804" t="s">
        <v>796</v>
      </c>
    </row>
    <row r="805" spans="4:5" x14ac:dyDescent="0.3">
      <c r="D805" t="s">
        <v>821</v>
      </c>
      <c r="E805" t="s">
        <v>796</v>
      </c>
    </row>
    <row r="806" spans="4:5" x14ac:dyDescent="0.3">
      <c r="D806" t="s">
        <v>822</v>
      </c>
      <c r="E806" t="s">
        <v>796</v>
      </c>
    </row>
    <row r="807" spans="4:5" x14ac:dyDescent="0.3">
      <c r="D807" t="s">
        <v>823</v>
      </c>
      <c r="E807" t="s">
        <v>796</v>
      </c>
    </row>
    <row r="808" spans="4:5" x14ac:dyDescent="0.3">
      <c r="D808" t="s">
        <v>824</v>
      </c>
      <c r="E808" t="s">
        <v>796</v>
      </c>
    </row>
    <row r="809" spans="4:5" x14ac:dyDescent="0.3">
      <c r="D809" t="s">
        <v>825</v>
      </c>
      <c r="E809" t="s">
        <v>796</v>
      </c>
    </row>
    <row r="810" spans="4:5" x14ac:dyDescent="0.3">
      <c r="D810" t="s">
        <v>826</v>
      </c>
      <c r="E810" t="s">
        <v>796</v>
      </c>
    </row>
    <row r="811" spans="4:5" x14ac:dyDescent="0.3">
      <c r="D811" t="s">
        <v>827</v>
      </c>
      <c r="E811" t="s">
        <v>796</v>
      </c>
    </row>
    <row r="812" spans="4:5" x14ac:dyDescent="0.3">
      <c r="D812" t="s">
        <v>573</v>
      </c>
      <c r="E812" t="s">
        <v>796</v>
      </c>
    </row>
    <row r="813" spans="4:5" x14ac:dyDescent="0.3">
      <c r="D813" t="s">
        <v>828</v>
      </c>
      <c r="E813" t="s">
        <v>796</v>
      </c>
    </row>
    <row r="814" spans="4:5" x14ac:dyDescent="0.3">
      <c r="D814" t="s">
        <v>829</v>
      </c>
      <c r="E814" t="s">
        <v>796</v>
      </c>
    </row>
    <row r="815" spans="4:5" x14ac:dyDescent="0.3">
      <c r="D815" t="s">
        <v>830</v>
      </c>
      <c r="E815" t="s">
        <v>796</v>
      </c>
    </row>
    <row r="816" spans="4:5" x14ac:dyDescent="0.3">
      <c r="D816" t="s">
        <v>831</v>
      </c>
      <c r="E816" t="s">
        <v>796</v>
      </c>
    </row>
    <row r="817" spans="4:5" x14ac:dyDescent="0.3">
      <c r="D817" t="s">
        <v>832</v>
      </c>
      <c r="E817" t="s">
        <v>796</v>
      </c>
    </row>
    <row r="818" spans="4:5" x14ac:dyDescent="0.3">
      <c r="D818" t="s">
        <v>160</v>
      </c>
      <c r="E818" t="s">
        <v>796</v>
      </c>
    </row>
    <row r="819" spans="4:5" x14ac:dyDescent="0.3">
      <c r="D819" t="s">
        <v>833</v>
      </c>
      <c r="E819" t="s">
        <v>796</v>
      </c>
    </row>
    <row r="820" spans="4:5" x14ac:dyDescent="0.3">
      <c r="D820" t="s">
        <v>834</v>
      </c>
      <c r="E820" t="s">
        <v>796</v>
      </c>
    </row>
    <row r="821" spans="4:5" x14ac:dyDescent="0.3">
      <c r="D821" t="s">
        <v>64</v>
      </c>
      <c r="E821" t="s">
        <v>835</v>
      </c>
    </row>
    <row r="822" spans="4:5" x14ac:dyDescent="0.3">
      <c r="D822" t="s">
        <v>254</v>
      </c>
      <c r="E822" t="s">
        <v>835</v>
      </c>
    </row>
    <row r="823" spans="4:5" x14ac:dyDescent="0.3">
      <c r="D823" t="s">
        <v>836</v>
      </c>
      <c r="E823" t="s">
        <v>835</v>
      </c>
    </row>
    <row r="824" spans="4:5" x14ac:dyDescent="0.3">
      <c r="D824" t="s">
        <v>837</v>
      </c>
      <c r="E824" t="s">
        <v>835</v>
      </c>
    </row>
    <row r="825" spans="4:5" x14ac:dyDescent="0.3">
      <c r="D825" t="s">
        <v>209</v>
      </c>
      <c r="E825" t="s">
        <v>835</v>
      </c>
    </row>
    <row r="826" spans="4:5" x14ac:dyDescent="0.3">
      <c r="D826" t="s">
        <v>838</v>
      </c>
      <c r="E826" t="s">
        <v>835</v>
      </c>
    </row>
    <row r="827" spans="4:5" x14ac:dyDescent="0.3">
      <c r="D827" t="s">
        <v>839</v>
      </c>
      <c r="E827" t="s">
        <v>835</v>
      </c>
    </row>
    <row r="828" spans="4:5" x14ac:dyDescent="0.3">
      <c r="D828" t="s">
        <v>840</v>
      </c>
      <c r="E828" t="s">
        <v>835</v>
      </c>
    </row>
    <row r="829" spans="4:5" x14ac:dyDescent="0.3">
      <c r="D829" t="s">
        <v>841</v>
      </c>
      <c r="E829" t="s">
        <v>835</v>
      </c>
    </row>
    <row r="830" spans="4:5" x14ac:dyDescent="0.3">
      <c r="D830" t="s">
        <v>842</v>
      </c>
      <c r="E830" t="s">
        <v>835</v>
      </c>
    </row>
    <row r="831" spans="4:5" x14ac:dyDescent="0.3">
      <c r="D831" t="s">
        <v>843</v>
      </c>
      <c r="E831" t="s">
        <v>835</v>
      </c>
    </row>
    <row r="832" spans="4:5" x14ac:dyDescent="0.3">
      <c r="D832" t="s">
        <v>844</v>
      </c>
      <c r="E832" t="s">
        <v>835</v>
      </c>
    </row>
    <row r="833" spans="4:5" x14ac:dyDescent="0.3">
      <c r="D833" t="s">
        <v>845</v>
      </c>
      <c r="E833" t="s">
        <v>384</v>
      </c>
    </row>
    <row r="834" spans="4:5" x14ac:dyDescent="0.3">
      <c r="D834" t="s">
        <v>846</v>
      </c>
      <c r="E834" t="s">
        <v>384</v>
      </c>
    </row>
    <row r="835" spans="4:5" x14ac:dyDescent="0.3">
      <c r="D835" t="s">
        <v>411</v>
      </c>
      <c r="E835" t="s">
        <v>384</v>
      </c>
    </row>
    <row r="836" spans="4:5" x14ac:dyDescent="0.3">
      <c r="D836" t="s">
        <v>847</v>
      </c>
      <c r="E836" t="s">
        <v>384</v>
      </c>
    </row>
    <row r="837" spans="4:5" x14ac:dyDescent="0.3">
      <c r="D837" t="s">
        <v>848</v>
      </c>
      <c r="E837" t="s">
        <v>384</v>
      </c>
    </row>
    <row r="838" spans="4:5" x14ac:dyDescent="0.3">
      <c r="D838" t="s">
        <v>849</v>
      </c>
      <c r="E838" t="s">
        <v>384</v>
      </c>
    </row>
    <row r="839" spans="4:5" x14ac:dyDescent="0.3">
      <c r="D839" t="s">
        <v>850</v>
      </c>
      <c r="E839" t="s">
        <v>384</v>
      </c>
    </row>
    <row r="840" spans="4:5" x14ac:dyDescent="0.3">
      <c r="D840" t="s">
        <v>851</v>
      </c>
      <c r="E840" t="s">
        <v>384</v>
      </c>
    </row>
    <row r="841" spans="4:5" x14ac:dyDescent="0.3">
      <c r="D841" t="s">
        <v>852</v>
      </c>
      <c r="E841" t="s">
        <v>384</v>
      </c>
    </row>
    <row r="842" spans="4:5" x14ac:dyDescent="0.3">
      <c r="D842" t="s">
        <v>853</v>
      </c>
      <c r="E842" t="s">
        <v>384</v>
      </c>
    </row>
    <row r="843" spans="4:5" x14ac:dyDescent="0.3">
      <c r="D843" t="s">
        <v>854</v>
      </c>
      <c r="E843" t="s">
        <v>384</v>
      </c>
    </row>
    <row r="844" spans="4:5" x14ac:dyDescent="0.3">
      <c r="D844" t="s">
        <v>855</v>
      </c>
      <c r="E844" t="s">
        <v>384</v>
      </c>
    </row>
    <row r="845" spans="4:5" x14ac:dyDescent="0.3">
      <c r="D845" t="s">
        <v>856</v>
      </c>
      <c r="E845" t="s">
        <v>384</v>
      </c>
    </row>
    <row r="846" spans="4:5" x14ac:dyDescent="0.3">
      <c r="D846" t="s">
        <v>857</v>
      </c>
      <c r="E846" t="s">
        <v>384</v>
      </c>
    </row>
    <row r="847" spans="4:5" x14ac:dyDescent="0.3">
      <c r="D847" t="s">
        <v>859</v>
      </c>
      <c r="E847" t="s">
        <v>858</v>
      </c>
    </row>
    <row r="848" spans="4:5" x14ac:dyDescent="0.3">
      <c r="D848" t="s">
        <v>860</v>
      </c>
      <c r="E848" t="s">
        <v>858</v>
      </c>
    </row>
    <row r="849" spans="4:5" x14ac:dyDescent="0.3">
      <c r="D849" t="s">
        <v>394</v>
      </c>
      <c r="E849" t="s">
        <v>858</v>
      </c>
    </row>
    <row r="850" spans="4:5" x14ac:dyDescent="0.3">
      <c r="D850" t="s">
        <v>861</v>
      </c>
      <c r="E850" t="s">
        <v>858</v>
      </c>
    </row>
    <row r="851" spans="4:5" x14ac:dyDescent="0.3">
      <c r="D851" t="s">
        <v>65</v>
      </c>
      <c r="E851" t="s">
        <v>858</v>
      </c>
    </row>
    <row r="852" spans="4:5" x14ac:dyDescent="0.3">
      <c r="D852" t="s">
        <v>862</v>
      </c>
      <c r="E852" t="s">
        <v>858</v>
      </c>
    </row>
    <row r="853" spans="4:5" x14ac:dyDescent="0.3">
      <c r="D853" t="s">
        <v>863</v>
      </c>
      <c r="E853" t="s">
        <v>858</v>
      </c>
    </row>
    <row r="854" spans="4:5" x14ac:dyDescent="0.3">
      <c r="D854" t="s">
        <v>69</v>
      </c>
      <c r="E854" t="s">
        <v>858</v>
      </c>
    </row>
    <row r="855" spans="4:5" x14ac:dyDescent="0.3">
      <c r="D855" t="s">
        <v>198</v>
      </c>
      <c r="E855" t="s">
        <v>858</v>
      </c>
    </row>
    <row r="856" spans="4:5" x14ac:dyDescent="0.3">
      <c r="D856" t="s">
        <v>508</v>
      </c>
      <c r="E856" t="s">
        <v>858</v>
      </c>
    </row>
    <row r="857" spans="4:5" x14ac:dyDescent="0.3">
      <c r="D857" t="s">
        <v>864</v>
      </c>
      <c r="E857" t="s">
        <v>858</v>
      </c>
    </row>
    <row r="858" spans="4:5" x14ac:dyDescent="0.3">
      <c r="D858" t="s">
        <v>865</v>
      </c>
      <c r="E858" t="s">
        <v>858</v>
      </c>
    </row>
    <row r="859" spans="4:5" x14ac:dyDescent="0.3">
      <c r="D859" t="s">
        <v>866</v>
      </c>
      <c r="E859" t="s">
        <v>858</v>
      </c>
    </row>
    <row r="860" spans="4:5" x14ac:dyDescent="0.3">
      <c r="D860" t="s">
        <v>867</v>
      </c>
      <c r="E860" t="s">
        <v>858</v>
      </c>
    </row>
    <row r="861" spans="4:5" x14ac:dyDescent="0.3">
      <c r="D861" t="s">
        <v>868</v>
      </c>
      <c r="E861" t="s">
        <v>858</v>
      </c>
    </row>
    <row r="862" spans="4:5" x14ac:dyDescent="0.3">
      <c r="D862" t="s">
        <v>869</v>
      </c>
      <c r="E862" t="s">
        <v>858</v>
      </c>
    </row>
    <row r="863" spans="4:5" x14ac:dyDescent="0.3">
      <c r="D863" t="s">
        <v>870</v>
      </c>
      <c r="E863" t="s">
        <v>858</v>
      </c>
    </row>
    <row r="864" spans="4:5" x14ac:dyDescent="0.3">
      <c r="D864" t="s">
        <v>871</v>
      </c>
      <c r="E864" t="s">
        <v>858</v>
      </c>
    </row>
    <row r="865" spans="4:5" x14ac:dyDescent="0.3">
      <c r="D865" t="s">
        <v>872</v>
      </c>
      <c r="E865" t="s">
        <v>858</v>
      </c>
    </row>
    <row r="866" spans="4:5" x14ac:dyDescent="0.3">
      <c r="D866" t="s">
        <v>873</v>
      </c>
      <c r="E866" t="s">
        <v>858</v>
      </c>
    </row>
    <row r="867" spans="4:5" x14ac:dyDescent="0.3">
      <c r="D867" t="s">
        <v>87</v>
      </c>
      <c r="E867" t="s">
        <v>858</v>
      </c>
    </row>
    <row r="868" spans="4:5" x14ac:dyDescent="0.3">
      <c r="D868" t="s">
        <v>874</v>
      </c>
      <c r="E868" t="s">
        <v>858</v>
      </c>
    </row>
    <row r="869" spans="4:5" x14ac:dyDescent="0.3">
      <c r="D869" t="s">
        <v>875</v>
      </c>
      <c r="E869" t="s">
        <v>858</v>
      </c>
    </row>
    <row r="870" spans="4:5" x14ac:dyDescent="0.3">
      <c r="D870" t="s">
        <v>876</v>
      </c>
      <c r="E870" t="s">
        <v>858</v>
      </c>
    </row>
    <row r="871" spans="4:5" x14ac:dyDescent="0.3">
      <c r="D871" t="s">
        <v>877</v>
      </c>
      <c r="E871" t="s">
        <v>858</v>
      </c>
    </row>
    <row r="872" spans="4:5" x14ac:dyDescent="0.3">
      <c r="D872" t="s">
        <v>878</v>
      </c>
      <c r="E872" t="s">
        <v>858</v>
      </c>
    </row>
    <row r="873" spans="4:5" x14ac:dyDescent="0.3">
      <c r="D873" t="s">
        <v>879</v>
      </c>
      <c r="E873" t="s">
        <v>858</v>
      </c>
    </row>
    <row r="874" spans="4:5" x14ac:dyDescent="0.3">
      <c r="D874" t="s">
        <v>213</v>
      </c>
      <c r="E874" t="s">
        <v>858</v>
      </c>
    </row>
    <row r="875" spans="4:5" x14ac:dyDescent="0.3">
      <c r="D875" t="s">
        <v>880</v>
      </c>
      <c r="E875" t="s">
        <v>858</v>
      </c>
    </row>
    <row r="876" spans="4:5" x14ac:dyDescent="0.3">
      <c r="D876" t="s">
        <v>881</v>
      </c>
      <c r="E876" t="s">
        <v>858</v>
      </c>
    </row>
    <row r="877" spans="4:5" x14ac:dyDescent="0.3">
      <c r="D877" t="s">
        <v>882</v>
      </c>
      <c r="E877" t="s">
        <v>858</v>
      </c>
    </row>
    <row r="878" spans="4:5" x14ac:dyDescent="0.3">
      <c r="D878" t="s">
        <v>883</v>
      </c>
      <c r="E878" t="s">
        <v>858</v>
      </c>
    </row>
    <row r="879" spans="4:5" x14ac:dyDescent="0.3">
      <c r="D879" t="s">
        <v>884</v>
      </c>
      <c r="E879" t="s">
        <v>858</v>
      </c>
    </row>
    <row r="880" spans="4:5" x14ac:dyDescent="0.3">
      <c r="D880" t="s">
        <v>885</v>
      </c>
      <c r="E880" t="s">
        <v>858</v>
      </c>
    </row>
    <row r="881" spans="4:5" x14ac:dyDescent="0.3">
      <c r="D881" t="s">
        <v>886</v>
      </c>
      <c r="E881" t="s">
        <v>858</v>
      </c>
    </row>
    <row r="882" spans="4:5" x14ac:dyDescent="0.3">
      <c r="D882" t="s">
        <v>887</v>
      </c>
      <c r="E882" t="s">
        <v>858</v>
      </c>
    </row>
    <row r="883" spans="4:5" x14ac:dyDescent="0.3">
      <c r="D883" t="s">
        <v>888</v>
      </c>
      <c r="E883" t="s">
        <v>858</v>
      </c>
    </row>
    <row r="884" spans="4:5" x14ac:dyDescent="0.3">
      <c r="D884" t="s">
        <v>102</v>
      </c>
      <c r="E884" t="s">
        <v>858</v>
      </c>
    </row>
    <row r="885" spans="4:5" x14ac:dyDescent="0.3">
      <c r="D885" t="s">
        <v>889</v>
      </c>
      <c r="E885" t="s">
        <v>858</v>
      </c>
    </row>
    <row r="886" spans="4:5" x14ac:dyDescent="0.3">
      <c r="D886" t="s">
        <v>890</v>
      </c>
      <c r="E886" t="s">
        <v>858</v>
      </c>
    </row>
    <row r="887" spans="4:5" x14ac:dyDescent="0.3">
      <c r="D887" t="s">
        <v>891</v>
      </c>
      <c r="E887" t="s">
        <v>858</v>
      </c>
    </row>
    <row r="888" spans="4:5" x14ac:dyDescent="0.3">
      <c r="D888" t="s">
        <v>892</v>
      </c>
      <c r="E888" t="s">
        <v>858</v>
      </c>
    </row>
    <row r="889" spans="4:5" x14ac:dyDescent="0.3">
      <c r="D889" t="s">
        <v>893</v>
      </c>
      <c r="E889" t="s">
        <v>858</v>
      </c>
    </row>
    <row r="890" spans="4:5" x14ac:dyDescent="0.3">
      <c r="D890" t="s">
        <v>894</v>
      </c>
      <c r="E890" t="s">
        <v>858</v>
      </c>
    </row>
    <row r="891" spans="4:5" x14ac:dyDescent="0.3">
      <c r="D891" t="s">
        <v>895</v>
      </c>
      <c r="E891" t="s">
        <v>858</v>
      </c>
    </row>
    <row r="892" spans="4:5" x14ac:dyDescent="0.3">
      <c r="D892" t="s">
        <v>896</v>
      </c>
      <c r="E892" t="s">
        <v>858</v>
      </c>
    </row>
    <row r="893" spans="4:5" x14ac:dyDescent="0.3">
      <c r="D893" t="s">
        <v>466</v>
      </c>
      <c r="E893" t="s">
        <v>858</v>
      </c>
    </row>
    <row r="894" spans="4:5" x14ac:dyDescent="0.3">
      <c r="D894" t="s">
        <v>897</v>
      </c>
      <c r="E894" t="s">
        <v>858</v>
      </c>
    </row>
    <row r="895" spans="4:5" x14ac:dyDescent="0.3">
      <c r="D895" t="s">
        <v>898</v>
      </c>
      <c r="E895" t="s">
        <v>858</v>
      </c>
    </row>
    <row r="896" spans="4:5" x14ac:dyDescent="0.3">
      <c r="D896" t="s">
        <v>899</v>
      </c>
      <c r="E896" t="s">
        <v>858</v>
      </c>
    </row>
    <row r="897" spans="4:5" x14ac:dyDescent="0.3">
      <c r="D897" t="s">
        <v>900</v>
      </c>
      <c r="E897" t="s">
        <v>858</v>
      </c>
    </row>
    <row r="898" spans="4:5" x14ac:dyDescent="0.3">
      <c r="D898" t="s">
        <v>901</v>
      </c>
      <c r="E898" t="s">
        <v>858</v>
      </c>
    </row>
    <row r="899" spans="4:5" x14ac:dyDescent="0.3">
      <c r="D899" t="s">
        <v>902</v>
      </c>
      <c r="E899" t="s">
        <v>858</v>
      </c>
    </row>
    <row r="900" spans="4:5" x14ac:dyDescent="0.3">
      <c r="D900" t="s">
        <v>903</v>
      </c>
      <c r="E900" t="s">
        <v>858</v>
      </c>
    </row>
    <row r="901" spans="4:5" x14ac:dyDescent="0.3">
      <c r="D901" t="s">
        <v>904</v>
      </c>
      <c r="E901" t="s">
        <v>858</v>
      </c>
    </row>
    <row r="902" spans="4:5" x14ac:dyDescent="0.3">
      <c r="D902" t="s">
        <v>905</v>
      </c>
      <c r="E902" t="s">
        <v>858</v>
      </c>
    </row>
    <row r="903" spans="4:5" x14ac:dyDescent="0.3">
      <c r="D903" t="s">
        <v>906</v>
      </c>
      <c r="E903" t="s">
        <v>858</v>
      </c>
    </row>
    <row r="904" spans="4:5" x14ac:dyDescent="0.3">
      <c r="D904" t="s">
        <v>907</v>
      </c>
      <c r="E904" t="s">
        <v>858</v>
      </c>
    </row>
    <row r="905" spans="4:5" x14ac:dyDescent="0.3">
      <c r="D905" t="s">
        <v>908</v>
      </c>
      <c r="E905" t="s">
        <v>858</v>
      </c>
    </row>
    <row r="906" spans="4:5" x14ac:dyDescent="0.3">
      <c r="D906" t="s">
        <v>909</v>
      </c>
      <c r="E906" t="s">
        <v>858</v>
      </c>
    </row>
    <row r="907" spans="4:5" x14ac:dyDescent="0.3">
      <c r="D907" t="s">
        <v>910</v>
      </c>
      <c r="E907" t="s">
        <v>858</v>
      </c>
    </row>
    <row r="908" spans="4:5" x14ac:dyDescent="0.3">
      <c r="D908" t="s">
        <v>911</v>
      </c>
      <c r="E908" t="s">
        <v>858</v>
      </c>
    </row>
    <row r="909" spans="4:5" x14ac:dyDescent="0.3">
      <c r="D909" t="s">
        <v>912</v>
      </c>
      <c r="E909" t="s">
        <v>858</v>
      </c>
    </row>
    <row r="910" spans="4:5" x14ac:dyDescent="0.3">
      <c r="D910" t="s">
        <v>913</v>
      </c>
      <c r="E910" t="s">
        <v>858</v>
      </c>
    </row>
    <row r="911" spans="4:5" x14ac:dyDescent="0.3">
      <c r="D911" t="s">
        <v>914</v>
      </c>
      <c r="E911" t="s">
        <v>858</v>
      </c>
    </row>
    <row r="912" spans="4:5" x14ac:dyDescent="0.3">
      <c r="D912" t="s">
        <v>133</v>
      </c>
      <c r="E912" t="s">
        <v>858</v>
      </c>
    </row>
    <row r="913" spans="4:5" x14ac:dyDescent="0.3">
      <c r="D913" t="s">
        <v>915</v>
      </c>
      <c r="E913" t="s">
        <v>858</v>
      </c>
    </row>
    <row r="914" spans="4:5" x14ac:dyDescent="0.3">
      <c r="D914" t="s">
        <v>916</v>
      </c>
      <c r="E914" t="s">
        <v>858</v>
      </c>
    </row>
    <row r="915" spans="4:5" x14ac:dyDescent="0.3">
      <c r="D915" t="s">
        <v>917</v>
      </c>
      <c r="E915" t="s">
        <v>858</v>
      </c>
    </row>
    <row r="916" spans="4:5" x14ac:dyDescent="0.3">
      <c r="D916" t="s">
        <v>918</v>
      </c>
      <c r="E916" t="s">
        <v>858</v>
      </c>
    </row>
    <row r="917" spans="4:5" x14ac:dyDescent="0.3">
      <c r="D917" t="s">
        <v>919</v>
      </c>
      <c r="E917" t="s">
        <v>858</v>
      </c>
    </row>
    <row r="918" spans="4:5" x14ac:dyDescent="0.3">
      <c r="D918" t="s">
        <v>920</v>
      </c>
      <c r="E918" t="s">
        <v>858</v>
      </c>
    </row>
    <row r="919" spans="4:5" x14ac:dyDescent="0.3">
      <c r="D919" t="s">
        <v>921</v>
      </c>
      <c r="E919" t="s">
        <v>858</v>
      </c>
    </row>
    <row r="920" spans="4:5" x14ac:dyDescent="0.3">
      <c r="D920" t="s">
        <v>922</v>
      </c>
      <c r="E920" t="s">
        <v>858</v>
      </c>
    </row>
    <row r="921" spans="4:5" x14ac:dyDescent="0.3">
      <c r="D921" t="s">
        <v>149</v>
      </c>
      <c r="E921" t="s">
        <v>858</v>
      </c>
    </row>
    <row r="922" spans="4:5" x14ac:dyDescent="0.3">
      <c r="D922" t="s">
        <v>923</v>
      </c>
      <c r="E922" t="s">
        <v>858</v>
      </c>
    </row>
    <row r="923" spans="4:5" x14ac:dyDescent="0.3">
      <c r="D923" t="s">
        <v>924</v>
      </c>
      <c r="E923" t="s">
        <v>858</v>
      </c>
    </row>
    <row r="924" spans="4:5" x14ac:dyDescent="0.3">
      <c r="D924" t="s">
        <v>925</v>
      </c>
      <c r="E924" t="s">
        <v>858</v>
      </c>
    </row>
    <row r="925" spans="4:5" x14ac:dyDescent="0.3">
      <c r="D925" t="s">
        <v>926</v>
      </c>
      <c r="E925" t="s">
        <v>858</v>
      </c>
    </row>
    <row r="926" spans="4:5" x14ac:dyDescent="0.3">
      <c r="D926" t="s">
        <v>439</v>
      </c>
      <c r="E926" t="s">
        <v>858</v>
      </c>
    </row>
    <row r="927" spans="4:5" x14ac:dyDescent="0.3">
      <c r="D927" t="s">
        <v>927</v>
      </c>
      <c r="E927" t="s">
        <v>858</v>
      </c>
    </row>
    <row r="928" spans="4:5" x14ac:dyDescent="0.3">
      <c r="D928" t="s">
        <v>928</v>
      </c>
      <c r="E928" t="s">
        <v>858</v>
      </c>
    </row>
    <row r="929" spans="4:5" x14ac:dyDescent="0.3">
      <c r="D929" t="s">
        <v>929</v>
      </c>
      <c r="E929" t="s">
        <v>858</v>
      </c>
    </row>
    <row r="930" spans="4:5" x14ac:dyDescent="0.3">
      <c r="D930" t="s">
        <v>930</v>
      </c>
      <c r="E930" t="s">
        <v>858</v>
      </c>
    </row>
    <row r="931" spans="4:5" x14ac:dyDescent="0.3">
      <c r="D931" t="s">
        <v>931</v>
      </c>
      <c r="E931" t="s">
        <v>858</v>
      </c>
    </row>
    <row r="932" spans="4:5" x14ac:dyDescent="0.3">
      <c r="D932" t="s">
        <v>243</v>
      </c>
      <c r="E932" t="s">
        <v>858</v>
      </c>
    </row>
    <row r="933" spans="4:5" x14ac:dyDescent="0.3">
      <c r="D933" t="s">
        <v>932</v>
      </c>
      <c r="E933" t="s">
        <v>858</v>
      </c>
    </row>
    <row r="934" spans="4:5" x14ac:dyDescent="0.3">
      <c r="D934" t="s">
        <v>933</v>
      </c>
      <c r="E934" t="s">
        <v>439</v>
      </c>
    </row>
    <row r="935" spans="4:5" x14ac:dyDescent="0.3">
      <c r="D935" t="s">
        <v>254</v>
      </c>
      <c r="E935" t="s">
        <v>439</v>
      </c>
    </row>
    <row r="936" spans="4:5" x14ac:dyDescent="0.3">
      <c r="D936" t="s">
        <v>934</v>
      </c>
      <c r="E936" t="s">
        <v>439</v>
      </c>
    </row>
    <row r="937" spans="4:5" x14ac:dyDescent="0.3">
      <c r="D937" t="s">
        <v>935</v>
      </c>
      <c r="E937" t="s">
        <v>439</v>
      </c>
    </row>
    <row r="938" spans="4:5" x14ac:dyDescent="0.3">
      <c r="D938" t="s">
        <v>936</v>
      </c>
      <c r="E938" t="s">
        <v>439</v>
      </c>
    </row>
    <row r="939" spans="4:5" x14ac:dyDescent="0.3">
      <c r="D939" t="s">
        <v>937</v>
      </c>
      <c r="E939" t="s">
        <v>439</v>
      </c>
    </row>
    <row r="940" spans="4:5" x14ac:dyDescent="0.3">
      <c r="D940" t="s">
        <v>938</v>
      </c>
      <c r="E940" t="s">
        <v>439</v>
      </c>
    </row>
    <row r="941" spans="4:5" x14ac:dyDescent="0.3">
      <c r="D941" t="s">
        <v>939</v>
      </c>
      <c r="E941" t="s">
        <v>439</v>
      </c>
    </row>
    <row r="942" spans="4:5" x14ac:dyDescent="0.3">
      <c r="D942" t="s">
        <v>940</v>
      </c>
      <c r="E942" t="s">
        <v>439</v>
      </c>
    </row>
    <row r="943" spans="4:5" x14ac:dyDescent="0.3">
      <c r="D943" t="s">
        <v>941</v>
      </c>
      <c r="E943" t="s">
        <v>439</v>
      </c>
    </row>
    <row r="944" spans="4:5" x14ac:dyDescent="0.3">
      <c r="D944" t="s">
        <v>114</v>
      </c>
      <c r="E944" t="s">
        <v>439</v>
      </c>
    </row>
    <row r="945" spans="4:5" x14ac:dyDescent="0.3">
      <c r="D945" t="s">
        <v>942</v>
      </c>
      <c r="E945" t="s">
        <v>439</v>
      </c>
    </row>
    <row r="946" spans="4:5" x14ac:dyDescent="0.3">
      <c r="D946" t="s">
        <v>943</v>
      </c>
      <c r="E946" t="s">
        <v>439</v>
      </c>
    </row>
    <row r="947" spans="4:5" x14ac:dyDescent="0.3">
      <c r="D947" t="s">
        <v>944</v>
      </c>
      <c r="E947" t="s">
        <v>439</v>
      </c>
    </row>
    <row r="948" spans="4:5" x14ac:dyDescent="0.3">
      <c r="D948" t="s">
        <v>945</v>
      </c>
      <c r="E948" t="s">
        <v>439</v>
      </c>
    </row>
    <row r="949" spans="4:5" x14ac:dyDescent="0.3">
      <c r="D949" t="s">
        <v>946</v>
      </c>
      <c r="E949" t="s">
        <v>439</v>
      </c>
    </row>
    <row r="950" spans="4:5" x14ac:dyDescent="0.3">
      <c r="D950" t="s">
        <v>947</v>
      </c>
      <c r="E950" t="s">
        <v>439</v>
      </c>
    </row>
    <row r="951" spans="4:5" x14ac:dyDescent="0.3">
      <c r="D951" t="s">
        <v>948</v>
      </c>
      <c r="E951" t="s">
        <v>439</v>
      </c>
    </row>
    <row r="952" spans="4:5" x14ac:dyDescent="0.3">
      <c r="D952" t="s">
        <v>949</v>
      </c>
      <c r="E952" t="s">
        <v>439</v>
      </c>
    </row>
    <row r="953" spans="4:5" x14ac:dyDescent="0.3">
      <c r="D953" t="s">
        <v>950</v>
      </c>
      <c r="E953" t="s">
        <v>439</v>
      </c>
    </row>
    <row r="954" spans="4:5" x14ac:dyDescent="0.3">
      <c r="D954" t="s">
        <v>951</v>
      </c>
      <c r="E954" t="s">
        <v>439</v>
      </c>
    </row>
    <row r="955" spans="4:5" x14ac:dyDescent="0.3">
      <c r="D955" t="s">
        <v>952</v>
      </c>
      <c r="E955" t="s">
        <v>439</v>
      </c>
    </row>
    <row r="956" spans="4:5" x14ac:dyDescent="0.3">
      <c r="D956" t="s">
        <v>953</v>
      </c>
      <c r="E956" t="s">
        <v>439</v>
      </c>
    </row>
    <row r="957" spans="4:5" x14ac:dyDescent="0.3">
      <c r="D957" t="s">
        <v>439</v>
      </c>
      <c r="E957" t="s">
        <v>439</v>
      </c>
    </row>
    <row r="958" spans="4:5" x14ac:dyDescent="0.3">
      <c r="D958" t="s">
        <v>954</v>
      </c>
      <c r="E958" t="s">
        <v>439</v>
      </c>
    </row>
    <row r="959" spans="4:5" x14ac:dyDescent="0.3">
      <c r="D959" t="s">
        <v>955</v>
      </c>
      <c r="E959" t="s">
        <v>439</v>
      </c>
    </row>
    <row r="960" spans="4:5" x14ac:dyDescent="0.3">
      <c r="D960" t="s">
        <v>957</v>
      </c>
      <c r="E960" t="s">
        <v>956</v>
      </c>
    </row>
    <row r="961" spans="4:5" x14ac:dyDescent="0.3">
      <c r="D961" t="s">
        <v>958</v>
      </c>
      <c r="E961" t="s">
        <v>956</v>
      </c>
    </row>
    <row r="962" spans="4:5" x14ac:dyDescent="0.3">
      <c r="D962" t="s">
        <v>959</v>
      </c>
      <c r="E962" t="s">
        <v>956</v>
      </c>
    </row>
    <row r="963" spans="4:5" x14ac:dyDescent="0.3">
      <c r="D963" t="s">
        <v>960</v>
      </c>
      <c r="E963" t="s">
        <v>956</v>
      </c>
    </row>
    <row r="964" spans="4:5" x14ac:dyDescent="0.3">
      <c r="D964" t="s">
        <v>961</v>
      </c>
      <c r="E964" t="s">
        <v>956</v>
      </c>
    </row>
    <row r="965" spans="4:5" x14ac:dyDescent="0.3">
      <c r="D965" t="s">
        <v>962</v>
      </c>
      <c r="E965" t="s">
        <v>956</v>
      </c>
    </row>
    <row r="966" spans="4:5" x14ac:dyDescent="0.3">
      <c r="D966" t="s">
        <v>963</v>
      </c>
      <c r="E966" t="s">
        <v>956</v>
      </c>
    </row>
    <row r="967" spans="4:5" x14ac:dyDescent="0.3">
      <c r="D967" t="s">
        <v>964</v>
      </c>
      <c r="E967" t="s">
        <v>956</v>
      </c>
    </row>
    <row r="968" spans="4:5" x14ac:dyDescent="0.3">
      <c r="D968" t="s">
        <v>965</v>
      </c>
      <c r="E968" t="s">
        <v>956</v>
      </c>
    </row>
    <row r="969" spans="4:5" x14ac:dyDescent="0.3">
      <c r="D969" t="s">
        <v>966</v>
      </c>
      <c r="E969" t="s">
        <v>956</v>
      </c>
    </row>
    <row r="970" spans="4:5" x14ac:dyDescent="0.3">
      <c r="D970" t="s">
        <v>967</v>
      </c>
      <c r="E970" t="s">
        <v>956</v>
      </c>
    </row>
    <row r="971" spans="4:5" x14ac:dyDescent="0.3">
      <c r="D971" t="s">
        <v>968</v>
      </c>
      <c r="E971" t="s">
        <v>956</v>
      </c>
    </row>
    <row r="972" spans="4:5" x14ac:dyDescent="0.3">
      <c r="D972" t="s">
        <v>969</v>
      </c>
      <c r="E972" t="s">
        <v>956</v>
      </c>
    </row>
    <row r="973" spans="4:5" x14ac:dyDescent="0.3">
      <c r="D973" t="s">
        <v>970</v>
      </c>
      <c r="E973" t="s">
        <v>956</v>
      </c>
    </row>
    <row r="974" spans="4:5" x14ac:dyDescent="0.3">
      <c r="D974" t="s">
        <v>971</v>
      </c>
      <c r="E974" t="s">
        <v>956</v>
      </c>
    </row>
    <row r="975" spans="4:5" x14ac:dyDescent="0.3">
      <c r="D975" t="s">
        <v>972</v>
      </c>
      <c r="E975" t="s">
        <v>956</v>
      </c>
    </row>
    <row r="976" spans="4:5" x14ac:dyDescent="0.3">
      <c r="D976" t="s">
        <v>973</v>
      </c>
      <c r="E976" t="s">
        <v>956</v>
      </c>
    </row>
    <row r="977" spans="4:5" x14ac:dyDescent="0.3">
      <c r="D977" t="s">
        <v>974</v>
      </c>
      <c r="E977" t="s">
        <v>956</v>
      </c>
    </row>
    <row r="978" spans="4:5" x14ac:dyDescent="0.3">
      <c r="D978" t="s">
        <v>975</v>
      </c>
      <c r="E978" t="s">
        <v>956</v>
      </c>
    </row>
    <row r="979" spans="4:5" x14ac:dyDescent="0.3">
      <c r="D979" t="s">
        <v>976</v>
      </c>
      <c r="E979" t="s">
        <v>956</v>
      </c>
    </row>
    <row r="980" spans="4:5" x14ac:dyDescent="0.3">
      <c r="D980" t="s">
        <v>977</v>
      </c>
      <c r="E980" t="s">
        <v>956</v>
      </c>
    </row>
    <row r="981" spans="4:5" x14ac:dyDescent="0.3">
      <c r="D981" t="s">
        <v>978</v>
      </c>
      <c r="E981" t="s">
        <v>956</v>
      </c>
    </row>
    <row r="982" spans="4:5" x14ac:dyDescent="0.3">
      <c r="D982" t="s">
        <v>979</v>
      </c>
      <c r="E982" t="s">
        <v>956</v>
      </c>
    </row>
    <row r="983" spans="4:5" x14ac:dyDescent="0.3">
      <c r="D983" t="s">
        <v>980</v>
      </c>
      <c r="E983" t="s">
        <v>956</v>
      </c>
    </row>
    <row r="984" spans="4:5" x14ac:dyDescent="0.3">
      <c r="D984" t="s">
        <v>981</v>
      </c>
      <c r="E984" t="s">
        <v>956</v>
      </c>
    </row>
    <row r="985" spans="4:5" x14ac:dyDescent="0.3">
      <c r="D985" t="s">
        <v>982</v>
      </c>
      <c r="E985" t="s">
        <v>956</v>
      </c>
    </row>
    <row r="986" spans="4:5" x14ac:dyDescent="0.3">
      <c r="D986" t="s">
        <v>983</v>
      </c>
      <c r="E986" t="s">
        <v>956</v>
      </c>
    </row>
    <row r="987" spans="4:5" x14ac:dyDescent="0.3">
      <c r="D987" t="s">
        <v>984</v>
      </c>
      <c r="E987" t="s">
        <v>956</v>
      </c>
    </row>
    <row r="988" spans="4:5" x14ac:dyDescent="0.3">
      <c r="D988" t="s">
        <v>985</v>
      </c>
      <c r="E988" t="s">
        <v>956</v>
      </c>
    </row>
    <row r="989" spans="4:5" x14ac:dyDescent="0.3">
      <c r="D989" t="s">
        <v>986</v>
      </c>
      <c r="E989" t="s">
        <v>956</v>
      </c>
    </row>
    <row r="990" spans="4:5" x14ac:dyDescent="0.3">
      <c r="D990" t="s">
        <v>987</v>
      </c>
      <c r="E990" t="s">
        <v>956</v>
      </c>
    </row>
    <row r="991" spans="4:5" x14ac:dyDescent="0.3">
      <c r="D991" t="s">
        <v>988</v>
      </c>
      <c r="E991" t="s">
        <v>956</v>
      </c>
    </row>
    <row r="992" spans="4:5" x14ac:dyDescent="0.3">
      <c r="D992" t="s">
        <v>989</v>
      </c>
      <c r="E992" t="s">
        <v>956</v>
      </c>
    </row>
    <row r="993" spans="4:5" x14ac:dyDescent="0.3">
      <c r="D993" t="s">
        <v>990</v>
      </c>
      <c r="E993" t="s">
        <v>956</v>
      </c>
    </row>
    <row r="994" spans="4:5" x14ac:dyDescent="0.3">
      <c r="D994" t="s">
        <v>991</v>
      </c>
      <c r="E994" t="s">
        <v>956</v>
      </c>
    </row>
    <row r="995" spans="4:5" x14ac:dyDescent="0.3">
      <c r="D995" t="s">
        <v>992</v>
      </c>
      <c r="E995" t="s">
        <v>956</v>
      </c>
    </row>
    <row r="996" spans="4:5" x14ac:dyDescent="0.3">
      <c r="D996" t="s">
        <v>993</v>
      </c>
      <c r="E996" t="s">
        <v>956</v>
      </c>
    </row>
    <row r="997" spans="4:5" x14ac:dyDescent="0.3">
      <c r="D997" t="s">
        <v>994</v>
      </c>
      <c r="E997" t="s">
        <v>956</v>
      </c>
    </row>
    <row r="998" spans="4:5" x14ac:dyDescent="0.3">
      <c r="D998" t="s">
        <v>995</v>
      </c>
      <c r="E998" t="s">
        <v>956</v>
      </c>
    </row>
    <row r="999" spans="4:5" x14ac:dyDescent="0.3">
      <c r="D999" t="s">
        <v>996</v>
      </c>
      <c r="E999" t="s">
        <v>956</v>
      </c>
    </row>
    <row r="1000" spans="4:5" x14ac:dyDescent="0.3">
      <c r="D1000" t="s">
        <v>143</v>
      </c>
      <c r="E1000" t="s">
        <v>956</v>
      </c>
    </row>
    <row r="1001" spans="4:5" x14ac:dyDescent="0.3">
      <c r="D1001" t="s">
        <v>997</v>
      </c>
      <c r="E1001" t="s">
        <v>956</v>
      </c>
    </row>
    <row r="1002" spans="4:5" x14ac:dyDescent="0.3">
      <c r="D1002" t="s">
        <v>438</v>
      </c>
      <c r="E1002" t="s">
        <v>956</v>
      </c>
    </row>
    <row r="1003" spans="4:5" x14ac:dyDescent="0.3">
      <c r="D1003" t="s">
        <v>998</v>
      </c>
      <c r="E1003" t="s">
        <v>956</v>
      </c>
    </row>
    <row r="1004" spans="4:5" x14ac:dyDescent="0.3">
      <c r="D1004" t="s">
        <v>999</v>
      </c>
      <c r="E1004" t="s">
        <v>956</v>
      </c>
    </row>
    <row r="1005" spans="4:5" x14ac:dyDescent="0.3">
      <c r="D1005" t="s">
        <v>1000</v>
      </c>
      <c r="E1005" t="s">
        <v>956</v>
      </c>
    </row>
    <row r="1006" spans="4:5" x14ac:dyDescent="0.3">
      <c r="D1006" t="s">
        <v>1001</v>
      </c>
      <c r="E1006" t="s">
        <v>956</v>
      </c>
    </row>
    <row r="1007" spans="4:5" x14ac:dyDescent="0.3">
      <c r="D1007" t="s">
        <v>1003</v>
      </c>
      <c r="E1007" t="s">
        <v>1002</v>
      </c>
    </row>
    <row r="1008" spans="4:5" x14ac:dyDescent="0.3">
      <c r="D1008" t="s">
        <v>1004</v>
      </c>
      <c r="E1008" t="s">
        <v>1002</v>
      </c>
    </row>
    <row r="1009" spans="4:5" x14ac:dyDescent="0.3">
      <c r="D1009" t="s">
        <v>1005</v>
      </c>
      <c r="E1009" t="s">
        <v>1002</v>
      </c>
    </row>
    <row r="1010" spans="4:5" x14ac:dyDescent="0.3">
      <c r="D1010" t="s">
        <v>1006</v>
      </c>
      <c r="E1010" t="s">
        <v>1002</v>
      </c>
    </row>
    <row r="1011" spans="4:5" x14ac:dyDescent="0.3">
      <c r="D1011" t="s">
        <v>63</v>
      </c>
      <c r="E1011" t="s">
        <v>1002</v>
      </c>
    </row>
    <row r="1012" spans="4:5" x14ac:dyDescent="0.3">
      <c r="D1012" t="s">
        <v>198</v>
      </c>
      <c r="E1012" t="s">
        <v>1002</v>
      </c>
    </row>
    <row r="1013" spans="4:5" x14ac:dyDescent="0.3">
      <c r="D1013" t="s">
        <v>1007</v>
      </c>
      <c r="E1013" t="s">
        <v>1002</v>
      </c>
    </row>
    <row r="1014" spans="4:5" x14ac:dyDescent="0.3">
      <c r="D1014" t="s">
        <v>1008</v>
      </c>
      <c r="E1014" t="s">
        <v>1002</v>
      </c>
    </row>
    <row r="1015" spans="4:5" x14ac:dyDescent="0.3">
      <c r="D1015" t="s">
        <v>1009</v>
      </c>
      <c r="E1015" t="s">
        <v>1002</v>
      </c>
    </row>
    <row r="1016" spans="4:5" x14ac:dyDescent="0.3">
      <c r="D1016" t="s">
        <v>1010</v>
      </c>
      <c r="E1016" t="s">
        <v>1002</v>
      </c>
    </row>
    <row r="1017" spans="4:5" x14ac:dyDescent="0.3">
      <c r="D1017" t="s">
        <v>1011</v>
      </c>
      <c r="E1017" t="s">
        <v>1002</v>
      </c>
    </row>
    <row r="1018" spans="4:5" x14ac:dyDescent="0.3">
      <c r="D1018" t="s">
        <v>178</v>
      </c>
      <c r="E1018" t="s">
        <v>1002</v>
      </c>
    </row>
    <row r="1019" spans="4:5" x14ac:dyDescent="0.3">
      <c r="D1019" t="s">
        <v>1012</v>
      </c>
      <c r="E1019" t="s">
        <v>1002</v>
      </c>
    </row>
    <row r="1020" spans="4:5" x14ac:dyDescent="0.3">
      <c r="D1020" t="s">
        <v>1013</v>
      </c>
      <c r="E1020" t="s">
        <v>1002</v>
      </c>
    </row>
    <row r="1021" spans="4:5" x14ac:dyDescent="0.3">
      <c r="D1021" t="s">
        <v>1014</v>
      </c>
      <c r="E1021" t="s">
        <v>1002</v>
      </c>
    </row>
    <row r="1022" spans="4:5" x14ac:dyDescent="0.3">
      <c r="D1022" t="s">
        <v>1015</v>
      </c>
      <c r="E1022" t="s">
        <v>1002</v>
      </c>
    </row>
    <row r="1023" spans="4:5" x14ac:dyDescent="0.3">
      <c r="D1023" t="s">
        <v>1016</v>
      </c>
      <c r="E1023" t="s">
        <v>1002</v>
      </c>
    </row>
    <row r="1024" spans="4:5" x14ac:dyDescent="0.3">
      <c r="D1024" t="s">
        <v>1017</v>
      </c>
      <c r="E1024" t="s">
        <v>1002</v>
      </c>
    </row>
    <row r="1025" spans="4:5" x14ac:dyDescent="0.3">
      <c r="D1025" t="s">
        <v>1018</v>
      </c>
      <c r="E1025" t="s">
        <v>1002</v>
      </c>
    </row>
    <row r="1026" spans="4:5" x14ac:dyDescent="0.3">
      <c r="D1026" t="s">
        <v>1019</v>
      </c>
      <c r="E1026" t="s">
        <v>1002</v>
      </c>
    </row>
    <row r="1027" spans="4:5" x14ac:dyDescent="0.3">
      <c r="D1027" t="s">
        <v>1020</v>
      </c>
      <c r="E1027" t="s">
        <v>1002</v>
      </c>
    </row>
    <row r="1028" spans="4:5" x14ac:dyDescent="0.3">
      <c r="D1028" t="s">
        <v>1021</v>
      </c>
      <c r="E1028" t="s">
        <v>1002</v>
      </c>
    </row>
    <row r="1029" spans="4:5" x14ac:dyDescent="0.3">
      <c r="D1029" t="s">
        <v>1022</v>
      </c>
      <c r="E1029" t="s">
        <v>1002</v>
      </c>
    </row>
    <row r="1030" spans="4:5" x14ac:dyDescent="0.3">
      <c r="D1030" t="s">
        <v>114</v>
      </c>
      <c r="E1030" t="s">
        <v>1002</v>
      </c>
    </row>
    <row r="1031" spans="4:5" x14ac:dyDescent="0.3">
      <c r="D1031" t="s">
        <v>290</v>
      </c>
      <c r="E1031" t="s">
        <v>1002</v>
      </c>
    </row>
    <row r="1032" spans="4:5" x14ac:dyDescent="0.3">
      <c r="D1032" t="s">
        <v>1023</v>
      </c>
      <c r="E1032" t="s">
        <v>1002</v>
      </c>
    </row>
    <row r="1033" spans="4:5" x14ac:dyDescent="0.3">
      <c r="D1033" t="s">
        <v>1024</v>
      </c>
      <c r="E1033" t="s">
        <v>1002</v>
      </c>
    </row>
    <row r="1034" spans="4:5" x14ac:dyDescent="0.3">
      <c r="D1034" t="s">
        <v>1025</v>
      </c>
      <c r="E1034" t="s">
        <v>1002</v>
      </c>
    </row>
    <row r="1035" spans="4:5" x14ac:dyDescent="0.3">
      <c r="D1035" t="s">
        <v>738</v>
      </c>
      <c r="E1035" t="s">
        <v>1002</v>
      </c>
    </row>
    <row r="1036" spans="4:5" x14ac:dyDescent="0.3">
      <c r="D1036" t="s">
        <v>1026</v>
      </c>
      <c r="E1036" t="s">
        <v>1002</v>
      </c>
    </row>
    <row r="1037" spans="4:5" x14ac:dyDescent="0.3">
      <c r="D1037" t="s">
        <v>1027</v>
      </c>
      <c r="E1037" t="s">
        <v>1002</v>
      </c>
    </row>
    <row r="1038" spans="4:5" x14ac:dyDescent="0.3">
      <c r="D1038" t="s">
        <v>952</v>
      </c>
      <c r="E1038" t="s">
        <v>1002</v>
      </c>
    </row>
    <row r="1039" spans="4:5" x14ac:dyDescent="0.3">
      <c r="D1039" t="s">
        <v>1028</v>
      </c>
      <c r="E1039" t="s">
        <v>1002</v>
      </c>
    </row>
    <row r="1040" spans="4:5" x14ac:dyDescent="0.3">
      <c r="D1040" t="s">
        <v>1029</v>
      </c>
      <c r="E1040" t="s">
        <v>1002</v>
      </c>
    </row>
    <row r="1041" spans="4:5" x14ac:dyDescent="0.3">
      <c r="D1041" t="s">
        <v>1030</v>
      </c>
      <c r="E1041" t="s">
        <v>1002</v>
      </c>
    </row>
    <row r="1042" spans="4:5" x14ac:dyDescent="0.3">
      <c r="D1042" t="s">
        <v>1031</v>
      </c>
      <c r="E1042" t="s">
        <v>1002</v>
      </c>
    </row>
    <row r="1043" spans="4:5" x14ac:dyDescent="0.3">
      <c r="D1043" t="s">
        <v>1032</v>
      </c>
      <c r="E1043" t="s">
        <v>1002</v>
      </c>
    </row>
    <row r="1044" spans="4:5" x14ac:dyDescent="0.3">
      <c r="D1044" t="s">
        <v>1033</v>
      </c>
      <c r="E1044" t="s">
        <v>1002</v>
      </c>
    </row>
    <row r="1045" spans="4:5" x14ac:dyDescent="0.3">
      <c r="D1045" t="s">
        <v>1034</v>
      </c>
      <c r="E1045" t="s">
        <v>1002</v>
      </c>
    </row>
    <row r="1046" spans="4:5" x14ac:dyDescent="0.3">
      <c r="D1046" t="s">
        <v>1035</v>
      </c>
      <c r="E1046" t="s">
        <v>1002</v>
      </c>
    </row>
    <row r="1047" spans="4:5" x14ac:dyDescent="0.3">
      <c r="D1047" t="s">
        <v>1036</v>
      </c>
      <c r="E1047" t="s">
        <v>1002</v>
      </c>
    </row>
    <row r="1048" spans="4:5" x14ac:dyDescent="0.3">
      <c r="D1048" t="s">
        <v>1037</v>
      </c>
      <c r="E1048" t="s">
        <v>1002</v>
      </c>
    </row>
    <row r="1049" spans="4:5" x14ac:dyDescent="0.3">
      <c r="D1049" t="s">
        <v>1038</v>
      </c>
      <c r="E1049" t="s">
        <v>1038</v>
      </c>
    </row>
    <row r="1050" spans="4:5" x14ac:dyDescent="0.3">
      <c r="D1050" t="s">
        <v>1039</v>
      </c>
      <c r="E1050" t="s">
        <v>1038</v>
      </c>
    </row>
    <row r="1051" spans="4:5" x14ac:dyDescent="0.3">
      <c r="D1051" t="s">
        <v>1040</v>
      </c>
      <c r="E1051" t="s">
        <v>1038</v>
      </c>
    </row>
    <row r="1052" spans="4:5" x14ac:dyDescent="0.3">
      <c r="D1052" t="s">
        <v>1041</v>
      </c>
      <c r="E1052" t="s">
        <v>1038</v>
      </c>
    </row>
    <row r="1053" spans="4:5" x14ac:dyDescent="0.3">
      <c r="D1053" t="s">
        <v>1042</v>
      </c>
      <c r="E1053" t="s">
        <v>1038</v>
      </c>
    </row>
    <row r="1054" spans="4:5" x14ac:dyDescent="0.3">
      <c r="D1054" t="s">
        <v>1043</v>
      </c>
      <c r="E1054" t="s">
        <v>1038</v>
      </c>
    </row>
    <row r="1055" spans="4:5" x14ac:dyDescent="0.3">
      <c r="D1055" t="s">
        <v>1044</v>
      </c>
      <c r="E1055" t="s">
        <v>1038</v>
      </c>
    </row>
    <row r="1056" spans="4:5" x14ac:dyDescent="0.3">
      <c r="D1056" t="s">
        <v>1046</v>
      </c>
      <c r="E1056" t="s">
        <v>1045</v>
      </c>
    </row>
    <row r="1057" spans="4:5" x14ac:dyDescent="0.3">
      <c r="D1057" t="s">
        <v>1047</v>
      </c>
      <c r="E1057" t="s">
        <v>1045</v>
      </c>
    </row>
    <row r="1058" spans="4:5" x14ac:dyDescent="0.3">
      <c r="D1058" t="s">
        <v>1048</v>
      </c>
      <c r="E1058" t="s">
        <v>1045</v>
      </c>
    </row>
    <row r="1059" spans="4:5" x14ac:dyDescent="0.3">
      <c r="D1059" t="s">
        <v>1049</v>
      </c>
      <c r="E1059" t="s">
        <v>1045</v>
      </c>
    </row>
    <row r="1060" spans="4:5" x14ac:dyDescent="0.3">
      <c r="D1060" t="s">
        <v>1050</v>
      </c>
      <c r="E1060" t="s">
        <v>1045</v>
      </c>
    </row>
    <row r="1061" spans="4:5" x14ac:dyDescent="0.3">
      <c r="D1061" t="s">
        <v>1051</v>
      </c>
      <c r="E1061" t="s">
        <v>1045</v>
      </c>
    </row>
    <row r="1062" spans="4:5" x14ac:dyDescent="0.3">
      <c r="D1062" t="s">
        <v>1052</v>
      </c>
      <c r="E1062" t="s">
        <v>1045</v>
      </c>
    </row>
    <row r="1063" spans="4:5" x14ac:dyDescent="0.3">
      <c r="D1063" t="s">
        <v>1053</v>
      </c>
      <c r="E1063" t="s">
        <v>1045</v>
      </c>
    </row>
    <row r="1064" spans="4:5" x14ac:dyDescent="0.3">
      <c r="D1064" t="s">
        <v>1054</v>
      </c>
      <c r="E1064" t="s">
        <v>1045</v>
      </c>
    </row>
    <row r="1065" spans="4:5" x14ac:dyDescent="0.3">
      <c r="D1065" t="s">
        <v>1055</v>
      </c>
      <c r="E1065" t="s">
        <v>1045</v>
      </c>
    </row>
    <row r="1066" spans="4:5" x14ac:dyDescent="0.3">
      <c r="D1066" t="s">
        <v>1056</v>
      </c>
      <c r="E1066" t="s">
        <v>1045</v>
      </c>
    </row>
    <row r="1067" spans="4:5" x14ac:dyDescent="0.3">
      <c r="D1067" t="s">
        <v>1057</v>
      </c>
      <c r="E1067" t="s">
        <v>1045</v>
      </c>
    </row>
    <row r="1068" spans="4:5" x14ac:dyDescent="0.3">
      <c r="D1068" t="s">
        <v>134</v>
      </c>
      <c r="E1068" t="s">
        <v>1045</v>
      </c>
    </row>
    <row r="1069" spans="4:5" x14ac:dyDescent="0.3">
      <c r="D1069" t="s">
        <v>1058</v>
      </c>
      <c r="E1069" t="s">
        <v>1045</v>
      </c>
    </row>
    <row r="1070" spans="4:5" x14ac:dyDescent="0.3">
      <c r="D1070" t="s">
        <v>1059</v>
      </c>
      <c r="E1070" t="s">
        <v>1045</v>
      </c>
    </row>
    <row r="1071" spans="4:5" x14ac:dyDescent="0.3">
      <c r="D1071" t="s">
        <v>1060</v>
      </c>
      <c r="E1071" t="s">
        <v>1045</v>
      </c>
    </row>
    <row r="1072" spans="4:5" x14ac:dyDescent="0.3">
      <c r="D1072" t="s">
        <v>1061</v>
      </c>
      <c r="E1072" t="s">
        <v>1045</v>
      </c>
    </row>
    <row r="1073" spans="4:5" x14ac:dyDescent="0.3">
      <c r="D1073" t="s">
        <v>1062</v>
      </c>
      <c r="E1073" t="s">
        <v>1045</v>
      </c>
    </row>
    <row r="1074" spans="4:5" x14ac:dyDescent="0.3">
      <c r="D1074" t="s">
        <v>243</v>
      </c>
      <c r="E1074" t="s">
        <v>1045</v>
      </c>
    </row>
    <row r="1075" spans="4:5" x14ac:dyDescent="0.3">
      <c r="D1075" t="s">
        <v>1064</v>
      </c>
      <c r="E1075" t="s">
        <v>1063</v>
      </c>
    </row>
    <row r="1076" spans="4:5" x14ac:dyDescent="0.3">
      <c r="D1076" t="s">
        <v>749</v>
      </c>
      <c r="E1076" t="s">
        <v>1063</v>
      </c>
    </row>
    <row r="1077" spans="4:5" x14ac:dyDescent="0.3">
      <c r="D1077" t="s">
        <v>1065</v>
      </c>
      <c r="E1077" t="s">
        <v>1063</v>
      </c>
    </row>
    <row r="1078" spans="4:5" x14ac:dyDescent="0.3">
      <c r="D1078" t="s">
        <v>1066</v>
      </c>
      <c r="E1078" t="s">
        <v>1063</v>
      </c>
    </row>
    <row r="1079" spans="4:5" x14ac:dyDescent="0.3">
      <c r="D1079" t="s">
        <v>1067</v>
      </c>
      <c r="E1079" t="s">
        <v>1063</v>
      </c>
    </row>
    <row r="1080" spans="4:5" x14ac:dyDescent="0.3">
      <c r="D1080" t="s">
        <v>1068</v>
      </c>
      <c r="E1080" t="s">
        <v>1063</v>
      </c>
    </row>
    <row r="1081" spans="4:5" x14ac:dyDescent="0.3">
      <c r="D1081" t="s">
        <v>1069</v>
      </c>
      <c r="E1081" t="s">
        <v>1063</v>
      </c>
    </row>
    <row r="1082" spans="4:5" x14ac:dyDescent="0.3">
      <c r="D1082" t="s">
        <v>1070</v>
      </c>
      <c r="E1082" t="s">
        <v>1063</v>
      </c>
    </row>
    <row r="1083" spans="4:5" x14ac:dyDescent="0.3">
      <c r="D1083" t="s">
        <v>139</v>
      </c>
      <c r="E1083" t="s">
        <v>1063</v>
      </c>
    </row>
    <row r="1084" spans="4:5" x14ac:dyDescent="0.3">
      <c r="D1084" t="s">
        <v>921</v>
      </c>
      <c r="E1084" t="s">
        <v>1063</v>
      </c>
    </row>
    <row r="1085" spans="4:5" x14ac:dyDescent="0.3">
      <c r="D1085" t="s">
        <v>828</v>
      </c>
      <c r="E1085" t="s">
        <v>1063</v>
      </c>
    </row>
    <row r="1086" spans="4:5" x14ac:dyDescent="0.3">
      <c r="D1086" t="s">
        <v>1071</v>
      </c>
      <c r="E1086" t="s">
        <v>1063</v>
      </c>
    </row>
    <row r="1087" spans="4:5" x14ac:dyDescent="0.3">
      <c r="D1087" t="s">
        <v>1072</v>
      </c>
      <c r="E1087" t="s">
        <v>1063</v>
      </c>
    </row>
    <row r="1088" spans="4:5" x14ac:dyDescent="0.3">
      <c r="D1088" t="s">
        <v>916</v>
      </c>
      <c r="E1088" t="s">
        <v>1073</v>
      </c>
    </row>
    <row r="1089" spans="4:5" x14ac:dyDescent="0.3">
      <c r="D1089" t="s">
        <v>781</v>
      </c>
      <c r="E1089" t="s">
        <v>1073</v>
      </c>
    </row>
    <row r="1090" spans="4:5" x14ac:dyDescent="0.3">
      <c r="D1090" t="s">
        <v>1075</v>
      </c>
      <c r="E1090" t="s">
        <v>1074</v>
      </c>
    </row>
    <row r="1091" spans="4:5" x14ac:dyDescent="0.3">
      <c r="D1091" t="s">
        <v>1076</v>
      </c>
      <c r="E1091" t="s">
        <v>1074</v>
      </c>
    </row>
    <row r="1092" spans="4:5" x14ac:dyDescent="0.3">
      <c r="D1092" t="s">
        <v>1078</v>
      </c>
      <c r="E1092" t="s">
        <v>1077</v>
      </c>
    </row>
    <row r="1093" spans="4:5" x14ac:dyDescent="0.3">
      <c r="D1093" t="s">
        <v>1080</v>
      </c>
      <c r="E1093" t="s">
        <v>1079</v>
      </c>
    </row>
    <row r="1094" spans="4:5" x14ac:dyDescent="0.3">
      <c r="D1094" t="s">
        <v>206</v>
      </c>
      <c r="E1094" t="s">
        <v>1079</v>
      </c>
    </row>
    <row r="1095" spans="4:5" x14ac:dyDescent="0.3">
      <c r="D1095" t="s">
        <v>1081</v>
      </c>
      <c r="E1095" t="s">
        <v>1079</v>
      </c>
    </row>
    <row r="1096" spans="4:5" x14ac:dyDescent="0.3">
      <c r="D1096" t="s">
        <v>295</v>
      </c>
      <c r="E1096" t="s">
        <v>1079</v>
      </c>
    </row>
    <row r="1097" spans="4:5" x14ac:dyDescent="0.3">
      <c r="D1097" t="s">
        <v>1083</v>
      </c>
      <c r="E1097" t="s">
        <v>1082</v>
      </c>
    </row>
    <row r="1098" spans="4:5" x14ac:dyDescent="0.3">
      <c r="D1098" t="s">
        <v>1084</v>
      </c>
      <c r="E1098" t="s">
        <v>1082</v>
      </c>
    </row>
    <row r="1099" spans="4:5" x14ac:dyDescent="0.3">
      <c r="D1099" t="s">
        <v>1085</v>
      </c>
      <c r="E1099" t="s">
        <v>1082</v>
      </c>
    </row>
    <row r="1100" spans="4:5" x14ac:dyDescent="0.3">
      <c r="D1100" t="s">
        <v>1087</v>
      </c>
      <c r="E1100" t="s">
        <v>1086</v>
      </c>
    </row>
    <row r="1101" spans="4:5" x14ac:dyDescent="0.3">
      <c r="D1101" t="s">
        <v>1088</v>
      </c>
      <c r="E1101" t="s">
        <v>1086</v>
      </c>
    </row>
    <row r="1102" spans="4:5" x14ac:dyDescent="0.3">
      <c r="D1102" t="s">
        <v>1089</v>
      </c>
      <c r="E1102" t="s">
        <v>1086</v>
      </c>
    </row>
    <row r="1103" spans="4:5" x14ac:dyDescent="0.3">
      <c r="D1103" t="s">
        <v>1090</v>
      </c>
      <c r="E1103" t="s">
        <v>1086</v>
      </c>
    </row>
  </sheetData>
  <dataConsolidate/>
  <mergeCells count="2">
    <mergeCell ref="CK1:CK2"/>
    <mergeCell ref="CL1:CL2"/>
  </mergeCells>
  <pageMargins left="0.7" right="0.7" top="0.75" bottom="0.75" header="0.3" footer="0.3"/>
  <pageSetup orientation="portrait" r:id="rId1"/>
  <tableParts count="47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7EB42-C33C-4897-8834-2E223A236921}">
  <dimension ref="A1:H36"/>
  <sheetViews>
    <sheetView workbookViewId="0">
      <selection activeCell="F16" sqref="F16"/>
    </sheetView>
  </sheetViews>
  <sheetFormatPr baseColWidth="10" defaultRowHeight="14.4" x14ac:dyDescent="0.3"/>
  <cols>
    <col min="1" max="1" width="47.5546875" customWidth="1"/>
    <col min="2" max="2" width="7.33203125" bestFit="1" customWidth="1"/>
    <col min="3" max="3" width="53.44140625" customWidth="1"/>
    <col min="4" max="4" width="7.33203125" bestFit="1" customWidth="1"/>
    <col min="5" max="5" width="2.5546875" customWidth="1"/>
    <col min="6" max="6" width="25.109375" customWidth="1"/>
  </cols>
  <sheetData>
    <row r="1" spans="1:8" ht="18.600000000000001" x14ac:dyDescent="0.3">
      <c r="A1" s="201" t="s">
        <v>27</v>
      </c>
      <c r="B1" s="201"/>
      <c r="C1" s="201"/>
      <c r="D1" s="201"/>
    </row>
    <row r="2" spans="1:8" ht="38.4" customHeight="1" x14ac:dyDescent="0.3">
      <c r="A2" s="7" t="s">
        <v>19</v>
      </c>
      <c r="B2" s="8" t="s">
        <v>18</v>
      </c>
      <c r="C2" s="7" t="s">
        <v>45</v>
      </c>
      <c r="D2" s="8" t="s">
        <v>18</v>
      </c>
      <c r="F2" s="174" t="s">
        <v>1172</v>
      </c>
      <c r="G2" s="161" t="s">
        <v>18</v>
      </c>
    </row>
    <row r="3" spans="1:8" ht="13.95" customHeight="1" x14ac:dyDescent="0.3">
      <c r="A3" s="47" t="s">
        <v>0</v>
      </c>
      <c r="B3" s="44">
        <v>10</v>
      </c>
      <c r="C3" s="19" t="s">
        <v>17</v>
      </c>
      <c r="D3" s="43">
        <v>10</v>
      </c>
      <c r="F3" s="175"/>
      <c r="G3" s="162"/>
    </row>
    <row r="4" spans="1:8" ht="13.95" customHeight="1" x14ac:dyDescent="0.3">
      <c r="A4" s="47" t="s">
        <v>1</v>
      </c>
      <c r="B4" s="44">
        <v>9</v>
      </c>
      <c r="C4" s="19" t="s">
        <v>16</v>
      </c>
      <c r="D4" s="43">
        <v>9</v>
      </c>
      <c r="F4" s="120" t="s">
        <v>1231</v>
      </c>
      <c r="G4" s="79">
        <v>10</v>
      </c>
    </row>
    <row r="5" spans="1:8" ht="13.95" customHeight="1" x14ac:dyDescent="0.3">
      <c r="A5" s="47" t="s">
        <v>2</v>
      </c>
      <c r="B5" s="44">
        <v>8</v>
      </c>
      <c r="C5" s="19" t="s">
        <v>15</v>
      </c>
      <c r="D5" s="43">
        <v>8</v>
      </c>
      <c r="F5" s="121" t="s">
        <v>1232</v>
      </c>
      <c r="G5" s="122">
        <v>9</v>
      </c>
    </row>
    <row r="6" spans="1:8" ht="13.95" customHeight="1" x14ac:dyDescent="0.3">
      <c r="A6" s="47" t="s">
        <v>3</v>
      </c>
      <c r="B6" s="44">
        <v>7</v>
      </c>
      <c r="C6" s="19" t="s">
        <v>14</v>
      </c>
      <c r="D6" s="43">
        <v>7</v>
      </c>
      <c r="F6" s="121" t="s">
        <v>1233</v>
      </c>
      <c r="G6" s="123">
        <v>8</v>
      </c>
    </row>
    <row r="7" spans="1:8" ht="13.95" customHeight="1" x14ac:dyDescent="0.3">
      <c r="A7" s="47" t="s">
        <v>4</v>
      </c>
      <c r="B7" s="44">
        <v>6</v>
      </c>
      <c r="C7" s="19" t="s">
        <v>13</v>
      </c>
      <c r="D7" s="43">
        <v>6</v>
      </c>
      <c r="F7" s="121" t="s">
        <v>1234</v>
      </c>
      <c r="G7" s="123">
        <v>7</v>
      </c>
    </row>
    <row r="8" spans="1:8" ht="13.95" customHeight="1" x14ac:dyDescent="0.3">
      <c r="A8" s="47" t="s">
        <v>5</v>
      </c>
      <c r="B8" s="44">
        <v>5</v>
      </c>
      <c r="C8" s="19" t="s">
        <v>12</v>
      </c>
      <c r="D8" s="43">
        <v>5</v>
      </c>
      <c r="F8" s="121" t="s">
        <v>1235</v>
      </c>
      <c r="G8" s="123">
        <v>6</v>
      </c>
    </row>
    <row r="9" spans="1:8" ht="13.95" customHeight="1" x14ac:dyDescent="0.3">
      <c r="A9" s="47" t="s">
        <v>6</v>
      </c>
      <c r="B9" s="44">
        <v>4</v>
      </c>
      <c r="C9" s="19" t="s">
        <v>11</v>
      </c>
      <c r="D9" s="43">
        <v>4</v>
      </c>
      <c r="F9" s="121" t="s">
        <v>1236</v>
      </c>
      <c r="G9" s="123">
        <v>5</v>
      </c>
    </row>
    <row r="10" spans="1:8" ht="13.95" customHeight="1" x14ac:dyDescent="0.3">
      <c r="A10" s="47" t="s">
        <v>7</v>
      </c>
      <c r="B10" s="44">
        <v>3</v>
      </c>
      <c r="C10" s="19" t="s">
        <v>10</v>
      </c>
      <c r="D10" s="43">
        <v>3</v>
      </c>
      <c r="F10" s="121" t="s">
        <v>1237</v>
      </c>
      <c r="G10" s="123">
        <v>4</v>
      </c>
    </row>
    <row r="11" spans="1:8" ht="13.95" customHeight="1" x14ac:dyDescent="0.3">
      <c r="A11" s="47" t="s">
        <v>8</v>
      </c>
      <c r="B11" s="44">
        <v>2</v>
      </c>
      <c r="C11" s="19" t="s">
        <v>25</v>
      </c>
      <c r="D11" s="43">
        <v>2</v>
      </c>
      <c r="F11" s="121" t="s">
        <v>1238</v>
      </c>
      <c r="G11" s="123">
        <v>3</v>
      </c>
    </row>
    <row r="12" spans="1:8" ht="13.95" customHeight="1" x14ac:dyDescent="0.3">
      <c r="A12" s="47" t="s">
        <v>9</v>
      </c>
      <c r="B12" s="44">
        <v>1</v>
      </c>
      <c r="C12" s="19" t="s">
        <v>26</v>
      </c>
      <c r="D12" s="43">
        <v>1</v>
      </c>
      <c r="F12" s="121" t="s">
        <v>1239</v>
      </c>
      <c r="G12" s="123">
        <v>2</v>
      </c>
    </row>
    <row r="13" spans="1:8" x14ac:dyDescent="0.3">
      <c r="F13" s="121" t="s">
        <v>1240</v>
      </c>
      <c r="G13" s="79">
        <v>1</v>
      </c>
    </row>
    <row r="16" spans="1:8" ht="72" x14ac:dyDescent="0.3">
      <c r="H16" s="120" t="s">
        <v>1173</v>
      </c>
    </row>
    <row r="17" spans="8:8" x14ac:dyDescent="0.3">
      <c r="H17" s="126"/>
    </row>
    <row r="18" spans="8:8" x14ac:dyDescent="0.3">
      <c r="H18" s="127">
        <v>120</v>
      </c>
    </row>
    <row r="19" spans="8:8" ht="28.8" x14ac:dyDescent="0.3">
      <c r="H19" s="121" t="s">
        <v>1174</v>
      </c>
    </row>
    <row r="20" spans="8:8" ht="28.8" x14ac:dyDescent="0.3">
      <c r="H20" s="128" t="s">
        <v>1175</v>
      </c>
    </row>
    <row r="21" spans="8:8" ht="28.8" x14ac:dyDescent="0.3">
      <c r="H21" s="121" t="s">
        <v>1176</v>
      </c>
    </row>
    <row r="22" spans="8:8" ht="28.8" x14ac:dyDescent="0.3">
      <c r="H22" s="129" t="s">
        <v>1177</v>
      </c>
    </row>
    <row r="23" spans="8:8" ht="28.8" x14ac:dyDescent="0.3">
      <c r="H23" s="121" t="s">
        <v>1178</v>
      </c>
    </row>
    <row r="24" spans="8:8" ht="28.8" x14ac:dyDescent="0.3">
      <c r="H24" s="129" t="s">
        <v>1179</v>
      </c>
    </row>
    <row r="25" spans="8:8" ht="28.8" x14ac:dyDescent="0.3">
      <c r="H25" s="121" t="s">
        <v>1180</v>
      </c>
    </row>
    <row r="26" spans="8:8" ht="28.8" x14ac:dyDescent="0.3">
      <c r="H26" s="129" t="s">
        <v>1181</v>
      </c>
    </row>
    <row r="27" spans="8:8" ht="28.8" x14ac:dyDescent="0.3">
      <c r="H27" s="121" t="s">
        <v>1182</v>
      </c>
    </row>
    <row r="28" spans="8:8" ht="28.8" x14ac:dyDescent="0.3">
      <c r="H28" s="129" t="s">
        <v>1183</v>
      </c>
    </row>
    <row r="29" spans="8:8" ht="28.8" x14ac:dyDescent="0.3">
      <c r="H29" s="121" t="s">
        <v>1184</v>
      </c>
    </row>
    <row r="30" spans="8:8" ht="28.8" x14ac:dyDescent="0.3">
      <c r="H30" s="129" t="s">
        <v>1185</v>
      </c>
    </row>
    <row r="31" spans="8:8" ht="28.8" x14ac:dyDescent="0.3">
      <c r="H31" s="121" t="s">
        <v>1186</v>
      </c>
    </row>
    <row r="32" spans="8:8" ht="28.8" x14ac:dyDescent="0.3">
      <c r="H32" s="129" t="s">
        <v>1187</v>
      </c>
    </row>
    <row r="33" spans="8:8" ht="28.8" x14ac:dyDescent="0.3">
      <c r="H33" s="121" t="s">
        <v>1188</v>
      </c>
    </row>
    <row r="34" spans="8:8" ht="28.8" x14ac:dyDescent="0.3">
      <c r="H34" s="121" t="s">
        <v>1189</v>
      </c>
    </row>
    <row r="35" spans="8:8" ht="28.8" x14ac:dyDescent="0.3">
      <c r="H35" s="66" t="s">
        <v>1190</v>
      </c>
    </row>
    <row r="36" spans="8:8" ht="28.8" x14ac:dyDescent="0.3">
      <c r="H36" s="66" t="s">
        <v>1191</v>
      </c>
    </row>
  </sheetData>
  <mergeCells count="3">
    <mergeCell ref="A1:D1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8</vt:i4>
      </vt:variant>
    </vt:vector>
  </HeadingPairs>
  <TitlesOfParts>
    <vt:vector size="13" baseType="lpstr">
      <vt:lpstr>TABLA</vt:lpstr>
      <vt:lpstr>ROLES</vt:lpstr>
      <vt:lpstr>INSTRUCCIONES</vt:lpstr>
      <vt:lpstr>DATOS</vt:lpstr>
      <vt:lpstr>VALORACION</vt:lpstr>
      <vt:lpstr>CÓRDOBA</vt:lpstr>
      <vt:lpstr>R_AMAZONÍA</vt:lpstr>
      <vt:lpstr>R_ANDINA</vt:lpstr>
      <vt:lpstr>R_CARIBE</vt:lpstr>
      <vt:lpstr>R_INSULAR</vt:lpstr>
      <vt:lpstr>R_ORINOQUIA</vt:lpstr>
      <vt:lpstr>R_PACÍFICA</vt:lpstr>
      <vt:lpstr>TIEMPO_PARTICIPACION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Ibeth Puerta</dc:creator>
  <cp:lastModifiedBy>Ibeth Puerta</cp:lastModifiedBy>
  <dcterms:created xsi:type="dcterms:W3CDTF">2026-01-22T14:44:32Z</dcterms:created>
  <dcterms:modified xsi:type="dcterms:W3CDTF">2026-04-14T23:29:05Z</dcterms:modified>
</cp:coreProperties>
</file>